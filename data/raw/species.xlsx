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G:\My Drive\Chicago_project\Chicago_project#3\"/>
    </mc:Choice>
  </mc:AlternateContent>
  <xr:revisionPtr revIDLastSave="0" documentId="13_ncr:1_{549B4912-25FD-4E4F-9F15-0D0DB98A28B6}" xr6:coauthVersionLast="47" xr6:coauthVersionMax="47" xr10:uidLastSave="{00000000-0000-0000-0000-000000000000}"/>
  <bookViews>
    <workbookView xWindow="-120" yWindow="-120" windowWidth="38640" windowHeight="21120" activeTab="1" xr2:uid="{00000000-000D-0000-FFFF-FFFF00000000}"/>
  </bookViews>
  <sheets>
    <sheet name="Sheet1" sheetId="1" r:id="rId1"/>
    <sheet name="recomb_data" sheetId="4" r:id="rId2"/>
    <sheet name="pop_par" sheetId="3" r:id="rId3"/>
    <sheet name="human_data"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7" i="4" l="1"/>
  <c r="D346" i="4"/>
  <c r="D345" i="4"/>
  <c r="D344" i="4"/>
  <c r="D343" i="4"/>
  <c r="E57" i="4"/>
  <c r="E58" i="4" s="1"/>
  <c r="E59" i="4" s="1"/>
  <c r="E60" i="4" s="1"/>
  <c r="E61" i="4" s="1"/>
  <c r="E62" i="4" s="1"/>
  <c r="E63" i="4" s="1"/>
  <c r="E64" i="4" s="1"/>
  <c r="E65" i="4" s="1"/>
  <c r="E66" i="4" s="1"/>
  <c r="E67" i="4" s="1"/>
  <c r="E68" i="4" s="1"/>
  <c r="E69" i="4" s="1"/>
  <c r="E70" i="4" s="1"/>
  <c r="E71" i="4" s="1"/>
  <c r="E72" i="4" s="1"/>
  <c r="E73" i="4" s="1"/>
  <c r="E74" i="4" s="1"/>
  <c r="E75" i="4" s="1"/>
  <c r="E76" i="4" s="1"/>
  <c r="E77" i="4" s="1"/>
  <c r="E78" i="4" s="1"/>
  <c r="E79" i="4" s="1"/>
  <c r="E80" i="4" s="1"/>
  <c r="E81" i="4" s="1"/>
  <c r="E82" i="4" s="1"/>
  <c r="E83" i="4" s="1"/>
  <c r="E84" i="4" s="1"/>
  <c r="E85" i="4" s="1"/>
  <c r="E86" i="4" s="1"/>
  <c r="E87" i="4" s="1"/>
  <c r="E88" i="4" s="1"/>
  <c r="E30" i="4"/>
  <c r="E31" i="4" s="1"/>
  <c r="E32" i="4" s="1"/>
  <c r="E33" i="4" s="1"/>
  <c r="E34" i="4" s="1"/>
  <c r="E35" i="4" s="1"/>
  <c r="E36" i="4" s="1"/>
  <c r="E37" i="4" s="1"/>
  <c r="E38" i="4" s="1"/>
  <c r="E39" i="4" s="1"/>
  <c r="E40" i="4" s="1"/>
  <c r="E41" i="4" s="1"/>
  <c r="E42" i="4" s="1"/>
  <c r="E43" i="4" s="1"/>
  <c r="E44" i="4" s="1"/>
  <c r="E45" i="4" s="1"/>
  <c r="E46" i="4" s="1"/>
  <c r="E47" i="4" s="1"/>
  <c r="E48" i="4" s="1"/>
  <c r="E49" i="4" s="1"/>
  <c r="E50" i="4" s="1"/>
  <c r="E51" i="4" s="1"/>
  <c r="E52" i="4" s="1"/>
  <c r="E53" i="4" s="1"/>
  <c r="E54" i="4" s="1"/>
  <c r="E3" i="4"/>
  <c r="E4" i="4" s="1"/>
  <c r="E5" i="4" s="1"/>
  <c r="E6" i="4" s="1"/>
  <c r="E7" i="4" s="1"/>
  <c r="E8" i="4" s="1"/>
  <c r="E9" i="4" s="1"/>
  <c r="E10" i="4" s="1"/>
  <c r="E11" i="4" s="1"/>
  <c r="E12" i="4" s="1"/>
  <c r="E13" i="4" s="1"/>
  <c r="E14" i="4" s="1"/>
  <c r="E15" i="4" s="1"/>
  <c r="E16" i="4" s="1"/>
  <c r="E17" i="4" s="1"/>
  <c r="E18" i="4" s="1"/>
  <c r="E19" i="4" s="1"/>
  <c r="E20" i="4" s="1"/>
  <c r="E21" i="4" s="1"/>
  <c r="E22" i="4" s="1"/>
  <c r="E23" i="4" s="1"/>
  <c r="E24" i="4" s="1"/>
  <c r="E25" i="4" s="1"/>
  <c r="E26" i="4" s="1"/>
  <c r="E27" i="4" s="1"/>
  <c r="C57" i="4"/>
  <c r="C58" i="4" s="1"/>
  <c r="C59" i="4" s="1"/>
  <c r="C60" i="4" s="1"/>
  <c r="C61" i="4" s="1"/>
  <c r="C62" i="4" s="1"/>
  <c r="C63" i="4" s="1"/>
  <c r="C64" i="4" s="1"/>
  <c r="C65" i="4" s="1"/>
  <c r="C66" i="4" s="1"/>
  <c r="C67" i="4" s="1"/>
  <c r="C68" i="4" s="1"/>
  <c r="C69" i="4" s="1"/>
  <c r="C70" i="4" s="1"/>
  <c r="C71" i="4" s="1"/>
  <c r="C72" i="4" s="1"/>
  <c r="C73" i="4" s="1"/>
  <c r="C74" i="4" s="1"/>
  <c r="C75" i="4" s="1"/>
  <c r="C76" i="4" s="1"/>
  <c r="C77" i="4" s="1"/>
  <c r="C78" i="4" s="1"/>
  <c r="C79" i="4" s="1"/>
  <c r="C80" i="4" s="1"/>
  <c r="C81" i="4" s="1"/>
  <c r="C82" i="4" s="1"/>
  <c r="C83" i="4" s="1"/>
  <c r="C84" i="4" s="1"/>
  <c r="C85" i="4" s="1"/>
  <c r="C86" i="4" s="1"/>
  <c r="C87" i="4" s="1"/>
  <c r="C88" i="4" s="1"/>
  <c r="C30" i="4"/>
  <c r="C31" i="4" s="1"/>
  <c r="C32" i="4" s="1"/>
  <c r="C33" i="4" s="1"/>
  <c r="C34" i="4" s="1"/>
  <c r="C35" i="4" s="1"/>
  <c r="C36" i="4" s="1"/>
  <c r="C37" i="4" s="1"/>
  <c r="C38" i="4" s="1"/>
  <c r="C39" i="4" s="1"/>
  <c r="C40" i="4" s="1"/>
  <c r="C41" i="4" s="1"/>
  <c r="C42" i="4" s="1"/>
  <c r="C43" i="4" s="1"/>
  <c r="C44" i="4" s="1"/>
  <c r="C45" i="4" s="1"/>
  <c r="C46" i="4" s="1"/>
  <c r="C47" i="4" s="1"/>
  <c r="C48" i="4" s="1"/>
  <c r="C49" i="4" s="1"/>
  <c r="C50" i="4" s="1"/>
  <c r="C51" i="4" s="1"/>
  <c r="C52" i="4" s="1"/>
  <c r="C53" i="4" s="1"/>
  <c r="C54" i="4" s="1"/>
  <c r="C3" i="4"/>
  <c r="C4" i="4" s="1"/>
  <c r="C5" i="4" s="1"/>
  <c r="C6" i="4" s="1"/>
  <c r="C7" i="4" s="1"/>
  <c r="C8" i="4" s="1"/>
  <c r="C9" i="4" s="1"/>
  <c r="C10" i="4" s="1"/>
  <c r="C11" i="4" s="1"/>
  <c r="C12" i="4" s="1"/>
  <c r="C13" i="4" s="1"/>
  <c r="C14" i="4" s="1"/>
  <c r="C15" i="4" s="1"/>
  <c r="C16" i="4" s="1"/>
  <c r="C17" i="4" s="1"/>
  <c r="C18" i="4" s="1"/>
  <c r="C19" i="4" s="1"/>
  <c r="C20" i="4" s="1"/>
  <c r="C21" i="4" s="1"/>
  <c r="C22" i="4" s="1"/>
  <c r="C23" i="4" s="1"/>
  <c r="C24" i="4" s="1"/>
  <c r="C25" i="4" s="1"/>
  <c r="C26" i="4" s="1"/>
  <c r="C27" i="4" s="1"/>
</calcChain>
</file>

<file path=xl/sharedStrings.xml><?xml version="1.0" encoding="utf-8"?>
<sst xmlns="http://schemas.openxmlformats.org/spreadsheetml/2006/main" count="1221" uniqueCount="243">
  <si>
    <t>Species</t>
  </si>
  <si>
    <t>Scientific name</t>
  </si>
  <si>
    <t>Location</t>
  </si>
  <si>
    <t>Ram Mountain, Canada</t>
  </si>
  <si>
    <t>St. Kilda, UK</t>
  </si>
  <si>
    <t>Isle of Rum, UK</t>
  </si>
  <si>
    <t>Wytham Woods, UK</t>
  </si>
  <si>
    <t>Abbreviation</t>
  </si>
  <si>
    <t>bsR</t>
  </si>
  <si>
    <t>ssS</t>
  </si>
  <si>
    <t>rdR</t>
  </si>
  <si>
    <t>gtW</t>
  </si>
  <si>
    <t>gtH</t>
  </si>
  <si>
    <t>Hoge Veluwe, the Netherlands</t>
  </si>
  <si>
    <t>cfG</t>
  </si>
  <si>
    <t>Gotland, Sweden</t>
  </si>
  <si>
    <t>btR</t>
  </si>
  <si>
    <t>La Rouvière, France</t>
  </si>
  <si>
    <t>spM</t>
  </si>
  <si>
    <t>Mandarte Island, Canada</t>
  </si>
  <si>
    <t>btP</t>
  </si>
  <si>
    <t>Muro, France</t>
  </si>
  <si>
    <t>rmC</t>
  </si>
  <si>
    <t>Cayo Santiago, Puerto Rico</t>
  </si>
  <si>
    <t>hht</t>
  </si>
  <si>
    <t>tiritiri Matangi Island, New Zealand</t>
  </si>
  <si>
    <t>sfC</t>
  </si>
  <si>
    <t>Canberra, Australia</t>
  </si>
  <si>
    <t>hhK</t>
  </si>
  <si>
    <t>Karori, New Zealand</t>
  </si>
  <si>
    <t>Cervus elaphus</t>
  </si>
  <si>
    <t>Malurus cyaneus</t>
  </si>
  <si>
    <t>gonochorous</t>
  </si>
  <si>
    <t>Sexual system</t>
  </si>
  <si>
    <t>btM</t>
  </si>
  <si>
    <t>Pirio, France</t>
  </si>
  <si>
    <t>Hihi.T</t>
  </si>
  <si>
    <t>Hihi.K</t>
  </si>
  <si>
    <t>Bighorn.sheep</t>
  </si>
  <si>
    <t>Soay.sheep</t>
  </si>
  <si>
    <t>Red.deer</t>
  </si>
  <si>
    <t>Great.tits.U</t>
  </si>
  <si>
    <t>Great.tits.N</t>
  </si>
  <si>
    <t>Collared.flycatchers</t>
  </si>
  <si>
    <t>Blue.tits.R</t>
  </si>
  <si>
    <t>Song.sparrows</t>
  </si>
  <si>
    <t>Blue.tits.P</t>
  </si>
  <si>
    <t>Blue.tits.M</t>
  </si>
  <si>
    <t>Rhesus.macaques</t>
  </si>
  <si>
    <t>Superb.fairy.wrens</t>
  </si>
  <si>
    <t>hh</t>
  </si>
  <si>
    <t>dm</t>
  </si>
  <si>
    <t>Ovis canadensis*</t>
  </si>
  <si>
    <t>Papio cynocephalus</t>
  </si>
  <si>
    <t>ybA</t>
  </si>
  <si>
    <t>Sciurus vulgaris</t>
  </si>
  <si>
    <t>rsK</t>
  </si>
  <si>
    <t>Suricata suricatta</t>
  </si>
  <si>
    <t>mkK</t>
  </si>
  <si>
    <t>Crocuta crocuta</t>
  </si>
  <si>
    <t>shN</t>
  </si>
  <si>
    <t>Chionomys nivalis</t>
  </si>
  <si>
    <t>svG</t>
  </si>
  <si>
    <t>Data on lifetime reproductive success in humans</t>
  </si>
  <si>
    <t>Kosova et al (Carol Ober's lab)</t>
  </si>
  <si>
    <t>They measure three phenotypic traits related to fitness:</t>
  </si>
  <si>
    <t>CFS</t>
  </si>
  <si>
    <t>Trait</t>
  </si>
  <si>
    <t>Definition</t>
  </si>
  <si>
    <t>Mean (SD)</t>
  </si>
  <si>
    <t>Broad-sense heritability</t>
  </si>
  <si>
    <t>Total number of births (includes liveborn and stillborn births)</t>
  </si>
  <si>
    <t>Birth rate</t>
  </si>
  <si>
    <t>Number of births per year of marriage</t>
  </si>
  <si>
    <t>ALR</t>
  </si>
  <si>
    <t>age at which wife had her last child</t>
  </si>
  <si>
    <t>Sample size</t>
  </si>
  <si>
    <t>7.14 (3.11)</t>
  </si>
  <si>
    <t>0.53 (0.14)</t>
  </si>
  <si>
    <t>35.07 (5.31)</t>
  </si>
  <si>
    <t>narrow-sense heritability (sum of additive and X-linked)</t>
  </si>
  <si>
    <t>Note that the heritability estimates (based on parsimonious model) are averaged between males and females. Note that for CFS and birth rate models there is no autsomal additive variance, while ALR had no X-linked component in males and females</t>
  </si>
  <si>
    <t>Kosova, G., Abney, M., &amp; Ober, C. (2010). Heritability of reproductive fitness traits in a human population. Proceedings of the National Academy of Sciences, 107(suppl_1), 1772-1778.</t>
  </si>
  <si>
    <t>0.25 (0.20)</t>
  </si>
  <si>
    <t>0.41 (0.17)</t>
  </si>
  <si>
    <t>sex-averaged narrow_sense heritability = ((h2_a_f + h2_x_f) + (h2_a_m + h2_x_m))/2</t>
  </si>
  <si>
    <t>0.21 (0.20)</t>
  </si>
  <si>
    <t>0.25 (0.17)</t>
  </si>
  <si>
    <t>0.29 (0.11)</t>
  </si>
  <si>
    <r>
      <t>Berg, V., Lummaa, V., Rickard, I. J., Silventoinen, K., Kaprio, J., &amp; Jokela, M. (2016). Genetic associations between personality traits and lifetime reproductive success in humans. </t>
    </r>
    <r>
      <rPr>
        <i/>
        <sz val="8"/>
        <color rgb="FF222222"/>
        <rFont val="Arial"/>
        <family val="2"/>
      </rPr>
      <t>Behavior Genetics</t>
    </r>
    <r>
      <rPr>
        <sz val="8"/>
        <color rgb="FF222222"/>
        <rFont val="Arial"/>
        <family val="2"/>
      </rPr>
      <t>, </t>
    </r>
    <r>
      <rPr>
        <i/>
        <sz val="8"/>
        <color rgb="FF222222"/>
        <rFont val="Arial"/>
        <family val="2"/>
      </rPr>
      <t>46</t>
    </r>
    <r>
      <rPr>
        <sz val="8"/>
        <color rgb="FF222222"/>
        <rFont val="Arial"/>
        <family val="2"/>
      </rPr>
      <t>(6), 742-753.</t>
    </r>
  </si>
  <si>
    <t>This paper uses pedigree data from Hutterites (a founder population in north America that exhibits high inbreeding coefficients ~0.034; natural fertility)</t>
  </si>
  <si>
    <t>LRS</t>
  </si>
  <si>
    <t>1.71 (1.30)</t>
  </si>
  <si>
    <t>Broad-sense heritability (CI)</t>
  </si>
  <si>
    <t>w</t>
  </si>
  <si>
    <t>Specifically, they use relative fitness in the ACE model, i.e. individual’s number of children relative to the mean number of children in the population</t>
  </si>
  <si>
    <t>This study uses the Finish Twin study. It has phenotypic data on lifetime reproductive success. It calculates heritability of relative fitness using the ACE model</t>
  </si>
  <si>
    <t>Total number of live births</t>
  </si>
  <si>
    <t>measures are sex-averaged</t>
  </si>
  <si>
    <t>number of children relative to the mean number of children in the population</t>
  </si>
  <si>
    <t>0.39 (0.32; 0.46)</t>
  </si>
  <si>
    <t>Gavrus‐Ion, A., Sjøvold, T., Hernández, M., González‐José, R., Esteban Torné, M. E., Martínez‐Abadías, N., &amp; Esparza, M. (2017). Measuring fitness heritability: Life history traits versus morphological traits in humans. American Journal of Physical Anthropology, 164(2), 321-330.</t>
  </si>
  <si>
    <t xml:space="preserve">This study uses reconstructed genealogies and life histories of an isolated austrian population (1602-1900, N=18,134 and pediree depth = 7). </t>
  </si>
  <si>
    <t>Offspring</t>
  </si>
  <si>
    <t>Number of children who survived up to 15 years; which represents the ability to leave offspring who reach the reproductive age.</t>
  </si>
  <si>
    <t>Total number of children of an individual including those from different marriages.</t>
  </si>
  <si>
    <t>V_G (CI)</t>
  </si>
  <si>
    <t>3.51 (2.92; 4.10)</t>
  </si>
  <si>
    <t>narrow-sense heritability (SE)</t>
  </si>
  <si>
    <t>0.033 (0.005)</t>
  </si>
  <si>
    <t>V_A</t>
  </si>
  <si>
    <t>V_P</t>
  </si>
  <si>
    <t>Mean</t>
  </si>
  <si>
    <t>0.023 (0.005)</t>
  </si>
  <si>
    <r>
      <t>Pettay, J. E., Kruuk, L. E., Jokela, J., &amp; Lummaa, V. (2005). Heritability and genetic constraints of life-history trait evolution in preindustrial humans. </t>
    </r>
    <r>
      <rPr>
        <i/>
        <sz val="8"/>
        <color rgb="FF222222"/>
        <rFont val="Arial"/>
        <family val="2"/>
      </rPr>
      <t>Proceedings of the National Academy of Sciences</t>
    </r>
    <r>
      <rPr>
        <sz val="8"/>
        <color rgb="FF222222"/>
        <rFont val="Arial"/>
        <family val="2"/>
      </rPr>
      <t>, </t>
    </r>
    <r>
      <rPr>
        <i/>
        <sz val="8"/>
        <color rgb="FF222222"/>
        <rFont val="Arial"/>
        <family val="2"/>
      </rPr>
      <t>102</t>
    </r>
    <r>
      <rPr>
        <sz val="8"/>
        <color rgb="FF222222"/>
        <rFont val="Arial"/>
        <family val="2"/>
      </rPr>
      <t>(8), 2838-2843.</t>
    </r>
  </si>
  <si>
    <t>This study uses four generations of preindustrial Finns by using a large genealogical database. N=5,018 individuals with latest birth date of 1903</t>
  </si>
  <si>
    <t>It has phenotypic data on  lifetime reproductive success (measured as the numberof children raised to adulthood, i.e., 15 years of age) is smaller than the sample size for fecundity.</t>
  </si>
  <si>
    <t>It has phenotypic data on lifetime reproductive success and number of offpsring. Estimates are based on animal model using a REML appraoch (VCE) to get heritability and V_A estimates</t>
  </si>
  <si>
    <t>this paper uses both LRS and reproductive value at birth (these two measures of fitness can rank individuals differently. I favor the latter because it is rate sensitive)</t>
  </si>
  <si>
    <t>Fecundity</t>
  </si>
  <si>
    <t>\lambda</t>
  </si>
  <si>
    <t>0.89 (0.39)</t>
  </si>
  <si>
    <t>3.43 (2.6)</t>
  </si>
  <si>
    <t>5.07 (3.48)</t>
  </si>
  <si>
    <t>0.381 (0.123)</t>
  </si>
  <si>
    <t>0.233 (0.099)</t>
  </si>
  <si>
    <t>0.282 (0.103)</t>
  </si>
  <si>
    <t>Estimates are based on animal model using a REML appraoch (VCE) to get heritability and V_A estimates. Reported numbers are sex-averaged</t>
  </si>
  <si>
    <r>
      <t>Bolund, E., Bouwhuis, S., Pettay, J. E., &amp; Lummaa, V. (2013). Divergent selection on, but no genetic conflict over, female and male timing and rate of reproduction in a human population. </t>
    </r>
    <r>
      <rPr>
        <i/>
        <sz val="8"/>
        <color rgb="FF222222"/>
        <rFont val="Arial"/>
        <family val="2"/>
      </rPr>
      <t>Proceedings of the Royal Society B: Biological Sciences</t>
    </r>
    <r>
      <rPr>
        <sz val="8"/>
        <color rgb="FF222222"/>
        <rFont val="Arial"/>
        <family val="2"/>
      </rPr>
      <t>, </t>
    </r>
    <r>
      <rPr>
        <i/>
        <sz val="8"/>
        <color rgb="FF222222"/>
        <rFont val="Arial"/>
        <family val="2"/>
      </rPr>
      <t>280</t>
    </r>
    <r>
      <rPr>
        <sz val="8"/>
        <color rgb="FF222222"/>
        <rFont val="Arial"/>
        <family val="2"/>
      </rPr>
      <t>(1772), 20132002.</t>
    </r>
  </si>
  <si>
    <t>fitness</t>
  </si>
  <si>
    <t>measured as the number of grandchildren born relative to the mean number of grandchildren born to individuals of each sex.</t>
  </si>
  <si>
    <t>It has phenotypic data on  a suite of life history traits</t>
  </si>
  <si>
    <t>this paper uses fitness as quantified by the number of grandchildren born, to control for any quantity versus quality trade-off at the offspring stage</t>
  </si>
  <si>
    <t>traits were standardized so additive heritability and additive variance are the same</t>
  </si>
  <si>
    <t>8.05 (9.6)</t>
  </si>
  <si>
    <t>This study uses demographic data on 69,691 individuals from seven parishes in Finland. Analyses restricted to individuals with complete life history records. Pedigree depth was 12 and sample size was 5787</t>
  </si>
  <si>
    <t>reproductive rate</t>
  </si>
  <si>
    <t>number of offspring/reprodutive lifespan</t>
  </si>
  <si>
    <t>0.53 (0.3)</t>
  </si>
  <si>
    <t>Estimates are based on univariate animal model using a Bayesian estimation approach to get heritability estimates. Reported numbers are sex-averaged</t>
  </si>
  <si>
    <t>narrow-sense heritability (Credible intervals)</t>
  </si>
  <si>
    <t>V_P (taken as SD^2)</t>
  </si>
  <si>
    <t>0.13 (0.076; 0.23)</t>
  </si>
  <si>
    <t>0.08 (0.026; 0.275)</t>
  </si>
  <si>
    <t>V_A (taken as V_P * h^2)</t>
  </si>
  <si>
    <t>0.007 (0.002; 0.025)</t>
  </si>
  <si>
    <t>individual \lambda (calculated according to the method of McGraw and Caswell 1996). This measure considers at the same time both the timing of reproduction and the number of children raised to adulthood (15 years of age)</t>
  </si>
  <si>
    <r>
      <t>Milot, E., Mayer, F. M., Nussey, D. H., Boisvert, M., Pelletier, F., &amp; Réale, D. (2011). Evidence for evolution in response to natural selection in a contemporary human population. </t>
    </r>
    <r>
      <rPr>
        <i/>
        <sz val="8"/>
        <color rgb="FF222222"/>
        <rFont val="Arial"/>
        <family val="2"/>
      </rPr>
      <t>Proceedings of the National Academy of Sciences</t>
    </r>
    <r>
      <rPr>
        <sz val="8"/>
        <color rgb="FF222222"/>
        <rFont val="Arial"/>
        <family val="2"/>
      </rPr>
      <t>, </t>
    </r>
    <r>
      <rPr>
        <i/>
        <sz val="8"/>
        <color rgb="FF222222"/>
        <rFont val="Arial"/>
        <family val="2"/>
      </rPr>
      <t>108</t>
    </r>
    <r>
      <rPr>
        <sz val="8"/>
        <color rgb="FF222222"/>
        <rFont val="Arial"/>
        <family val="2"/>
      </rPr>
      <t>(41), 17040-17045.</t>
    </r>
  </si>
  <si>
    <t xml:space="preserve">This study uses demographic data on 572 individuals from an endemic population in French-Canada. </t>
  </si>
  <si>
    <t>this paper uses fitness as quantified by the number of children that survived to 15 years</t>
  </si>
  <si>
    <t>Estimates are based on bivariate animal model using a Bayesian estimation approach to get heritability estimates. Reported numbers are based on female records only</t>
  </si>
  <si>
    <t>measured as the number of children that survived to adulthood or age 15</t>
  </si>
  <si>
    <t>5.1 (3.5)</t>
  </si>
  <si>
    <t>0.04 (0.00; 0.43)</t>
  </si>
  <si>
    <t>11.98 (7.00; 21.20)</t>
  </si>
  <si>
    <t>0.49 (0.00; 5.27)</t>
  </si>
  <si>
    <t>Source paper</t>
  </si>
  <si>
    <t>Poissant, J., Hogg, J. T., Davis, C. S., Miller, J. M., Maddox, J. F., &amp; Coltman, D. W. (2010). Genetic linkage map of a wild genome: genomic structure, recombination and sexual dimorphism in bighorn sheep. BMC genomics, 11(1), 524.</t>
  </si>
  <si>
    <t>Johnston, S. E., Bérénos, C., Slate, J., &amp; Pemberton, J. M. (2016). Conserved genetic architecture underlying individual recombination rate variation in a wild population of Soay sheep (Ovis aries). Genetics, 203(1), 583-598.</t>
  </si>
  <si>
    <t>Van Oers, K., Santure, A. W., De Cauwer, I., Van Bers, N. E., Crooijmans, R. P., Sheldon, B. C., ... &amp; Groenen, M. A. (2014). Replicated high-density genetic maps of two great tit populations reveal fine-scale genomic departures from sex-equal recombination rates. Heredity, 112(3), 307-316.</t>
  </si>
  <si>
    <t>Hansson, B., Ljungqvist, M., Dawson, D. A., Mueller, J. C., Olano-Marin, J., Ellegren, H., &amp; Nilsson, J. Å. (2010). Avian genome evolution: insights from a linkage map of the blue tit (Cyanistes caeruleus). Heredity, 104(1), 67-78.</t>
  </si>
  <si>
    <t>Nietlisbach, P., Camenisch, G., Bucher, T., Slate, J., Keller, L. F., &amp; Postma, E. (2015). A microsatellite‐based linkage map for song sparrows (M elospiza melodia). Molecular Ecology Resources, 15(6), 1486-1496.</t>
  </si>
  <si>
    <t>Tan, H.Z., Scherer, P., Stuart, K.C. et al. A high-density linkage map reveals broad- and fine-scale sex differences in recombination in the hihi (stitchbird; Notiomystis cincta). Heredity 133, 262–275 (2024). https://doi.org/10.1038/s41437-024-00711-3</t>
  </si>
  <si>
    <t>Peñalba, J. V., Deng, Y., Fang, Q., Joseph, L., Moritz, C., &amp; Cockburn, A. (2020). Genome of an iconic Australian bird: High‐quality assembly and linkage map of the superb fairy‐wren (Malurus cyaneus). Molecular Ecology Resources, 20(2), 560-578.</t>
  </si>
  <si>
    <t>Ovis aries</t>
  </si>
  <si>
    <t>Parus major</t>
  </si>
  <si>
    <t>Ficedula albicollis</t>
  </si>
  <si>
    <t>Cyanistes caeruleus</t>
  </si>
  <si>
    <t>Melospiza melodia</t>
  </si>
  <si>
    <t>Macaca mulatta</t>
  </si>
  <si>
    <t>Notiomystis cincta</t>
  </si>
  <si>
    <t>*Genome size data was drawn from NCBI genome assembly data because autosomal genome size in original paper was missing</t>
  </si>
  <si>
    <t>Scientific Name</t>
  </si>
  <si>
    <t>Total VA​ (Mean)</t>
  </si>
  <si>
    <t>Total VA​ (Lower 95)</t>
  </si>
  <si>
    <t>Total VA​ (Upper 95)</t>
  </si>
  <si>
    <t>Total Ud​ (Proxy)</t>
  </si>
  <si>
    <t>nA​ (HAN)</t>
  </si>
  <si>
    <t>Ovis canadensis</t>
  </si>
  <si>
    <t>Homo sapiens</t>
  </si>
  <si>
    <t>Drosophila melanogaster</t>
  </si>
  <si>
    <t>X</t>
  </si>
  <si>
    <t>1A</t>
  </si>
  <si>
    <t>4A</t>
  </si>
  <si>
    <t>25A</t>
  </si>
  <si>
    <t>25B</t>
  </si>
  <si>
    <t>Z</t>
  </si>
  <si>
    <t>LGE22</t>
  </si>
  <si>
    <t>Fal35</t>
  </si>
  <si>
    <t>Mating system</t>
  </si>
  <si>
    <t>polygynous</t>
  </si>
  <si>
    <t>monogamous</t>
  </si>
  <si>
    <t>polygynandrous</t>
  </si>
  <si>
    <t>EPP</t>
  </si>
  <si>
    <t>Parus major (UK)</t>
  </si>
  <si>
    <t>Parus major (NL)</t>
  </si>
  <si>
    <t>1B</t>
  </si>
  <si>
    <t>3A</t>
  </si>
  <si>
    <t>3C</t>
  </si>
  <si>
    <t>3B</t>
  </si>
  <si>
    <t>4C</t>
  </si>
  <si>
    <t>4D</t>
  </si>
  <si>
    <t>4B</t>
  </si>
  <si>
    <t>4E</t>
  </si>
  <si>
    <t>Linkage_Group</t>
  </si>
  <si>
    <t>Total_cM</t>
  </si>
  <si>
    <t>NCBI_Chromosome</t>
  </si>
  <si>
    <t>25LG1</t>
  </si>
  <si>
    <t>25LG2</t>
  </si>
  <si>
    <t>Kawakami, T., Smeds, L., Backström, N., Husby, A., Qvarnström, A., Mugal, C.F., Olason, P. and Ellegren, H. (2014), A high-density linkage map enables a second-generation collared flycatcher genome assembly and reveals the patterns of avian recombination rate variation and chromosomal evolution. Mol Ecol, 23: 4035-4058. https://doi.org/10.1111/mec.12810</t>
  </si>
  <si>
    <t>LG34</t>
  </si>
  <si>
    <t>LG35</t>
  </si>
  <si>
    <t>Fal34</t>
  </si>
  <si>
    <t>Fal36</t>
  </si>
  <si>
    <t>Cyril J Versoza, Sarah Weiss, Ravneet Johal, Bruno La Rosa, Jeffrey D Jensen, Susanne P Pfeifer, Novel Insights into the Landscape of Crossover and Noncrossover Events in Rhesus Macaques (Macaca mulatta), Genome Biology and Evolution, Volume 16, Issue 1, January 2024, evad223, https://doi.org/10.1093/gbe/evad223</t>
  </si>
  <si>
    <t xml:space="preserve"> Z</t>
  </si>
  <si>
    <t>Amboseli National Park, Kenya</t>
  </si>
  <si>
    <t>Kluane, Canada</t>
  </si>
  <si>
    <t>Red.squirrels</t>
  </si>
  <si>
    <t>Yellow.baboons</t>
  </si>
  <si>
    <t>Meerkats</t>
  </si>
  <si>
    <t>Kalahari, South Africa</t>
  </si>
  <si>
    <t>Ngorongoro Crater, Tanzania</t>
  </si>
  <si>
    <t xml:space="preserve">Spotted.hyenas </t>
  </si>
  <si>
    <t>Code</t>
  </si>
  <si>
    <t>bt</t>
  </si>
  <si>
    <t>hs</t>
  </si>
  <si>
    <t>Snow.voles</t>
  </si>
  <si>
    <t>Graubünden, Switzerland</t>
  </si>
  <si>
    <t>Kong, X., Murphy, K., Raj, T., He, C., White, P. S., &amp; Matise, T. C. (2004). A combined linkage-physical map of the human genome. The American Journal of Human Genetics, 75(6), 1143-1148.</t>
  </si>
  <si>
    <t>Global</t>
  </si>
  <si>
    <t>Humans</t>
  </si>
  <si>
    <t>Fruit.flies</t>
  </si>
  <si>
    <t>polygynandrous </t>
  </si>
  <si>
    <t>2L</t>
  </si>
  <si>
    <t>2R</t>
  </si>
  <si>
    <t>3L</t>
  </si>
  <si>
    <t>3R</t>
  </si>
  <si>
    <t>Comeron, J. M., Ratnappan, R., &amp; Bailin, S. (2012). The many landscapes of recombination in Drosophila melanogaster.</t>
  </si>
  <si>
    <t>Rogers, J., Mahaney, M. C., Witte, S. M., Nair, S., Newman, D., Wedel, S., ... &amp; Morin, P. A. (2000). A genetic linkage map of the baboon (Papio hamadryas) genome based on human microsatellite polymorphisms. Genomics, 67(3), 237-247.</t>
  </si>
  <si>
    <t>ybA*</t>
  </si>
  <si>
    <t>* linkage map is supplemented with Cox, L. A., Mahaney, M. C., VandeBerg, J. L., &amp; Rogers, J. (2006). A second-generation genetic linkage map of the baboon (Papio hamadryas) genome. Genomics, 88(3), 274-281.</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</si>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</sst>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1"/>
      <color theme="1"/>
      <name val="Calibri"/>
      <family val="2"/>
      <scheme val="minor"/>
    </font>
    <font>
      <sz val="11"/>
      <color rgb="FF006100"/>
      <name val="Calibri"/>
      <family val="2"/>
      <scheme val="minor"/>
    </font>
    <font>
      <sz val="11"/>
      <color rgb="FF9C5700"/>
      <name val="Calibri"/>
      <family val="2"/>
      <scheme val="minor"/>
    </font>
    <font>
      <sz val="9"/>
      <color theme="1"/>
      <name val="Calibri"/>
      <family val="2"/>
      <scheme val="minor"/>
    </font>
    <font>
      <sz val="8"/>
      <name val="Roboto"/>
    </font>
    <font>
      <sz val="11"/>
      <name val="Calibri"/>
      <family val="2"/>
      <scheme val="minor"/>
    </font>
    <font>
      <sz val="18"/>
      <color theme="1"/>
      <name val="Calibri"/>
      <family val="2"/>
      <scheme val="minor"/>
    </font>
    <font>
      <sz val="8"/>
      <color rgb="FF222222"/>
      <name val="Arial"/>
      <family val="2"/>
    </font>
    <font>
      <i/>
      <sz val="8"/>
      <color rgb="FF222222"/>
      <name val="Arial"/>
      <family val="2"/>
    </font>
    <font>
      <sz val="11"/>
      <color rgb="FF222222"/>
      <name val="Calibri"/>
      <family val="2"/>
    </font>
    <font>
      <sz val="11"/>
      <color rgb="FF2A2A2A"/>
      <name val="Source Sans Pro"/>
      <family val="2"/>
    </font>
    <font>
      <sz val="11"/>
      <color rgb="FF222222"/>
      <name val="Calibri"/>
      <family val="2"/>
      <scheme val="minor"/>
    </font>
    <font>
      <sz val="11"/>
      <color rgb="FF000000"/>
      <name val="Arial"/>
      <family val="2"/>
    </font>
    <font>
      <sz val="12"/>
      <color theme="1"/>
      <name val="Calibri"/>
      <family val="2"/>
      <scheme val="minor"/>
    </font>
    <font>
      <sz val="11"/>
      <color rgb="FF9C0006"/>
      <name val="Calibri"/>
      <family val="2"/>
      <scheme val="minor"/>
    </font>
    <font>
      <sz val="11"/>
      <name val="Roboto"/>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rgb="FFFFC7CE"/>
      </patternFill>
    </fill>
  </fills>
  <borders count="2">
    <border>
      <left/>
      <right/>
      <top/>
      <bottom/>
      <diagonal/>
    </border>
    <border>
      <left/>
      <right/>
      <top/>
      <bottom style="medium">
        <color indexed="64"/>
      </bottom>
      <diagonal/>
    </border>
  </borders>
  <cellStyleXfs count="4">
    <xf numFmtId="0" fontId="0" fillId="0" borderId="0"/>
    <xf numFmtId="0" fontId="2" fillId="2" borderId="0" applyNumberFormat="0" applyBorder="0" applyAlignment="0" applyProtection="0"/>
    <xf numFmtId="0" fontId="3" fillId="3" borderId="0" applyNumberFormat="0" applyBorder="0" applyAlignment="0" applyProtection="0"/>
    <xf numFmtId="0" fontId="15" fillId="4" borderId="0" applyNumberFormat="0" applyBorder="0" applyAlignment="0" applyProtection="0"/>
  </cellStyleXfs>
  <cellXfs count="24">
    <xf numFmtId="0" fontId="0" fillId="0" borderId="0" xfId="0"/>
    <xf numFmtId="0" fontId="1" fillId="0" borderId="1" xfId="0" applyFont="1" applyBorder="1"/>
    <xf numFmtId="0" fontId="2" fillId="2" borderId="0" xfId="1"/>
    <xf numFmtId="0" fontId="4" fillId="0" borderId="0" xfId="0" applyFont="1"/>
    <xf numFmtId="0" fontId="5" fillId="0" borderId="0" xfId="0" applyFont="1"/>
    <xf numFmtId="0" fontId="6" fillId="0" borderId="0" xfId="0" applyFont="1"/>
    <xf numFmtId="0" fontId="2" fillId="2" borderId="0" xfId="1" applyNumberFormat="1"/>
    <xf numFmtId="0" fontId="7" fillId="0" borderId="0" xfId="0" applyFont="1"/>
    <xf numFmtId="0" fontId="0" fillId="0" borderId="0" xfId="0" applyAlignment="1">
      <alignment wrapText="1"/>
    </xf>
    <xf numFmtId="0" fontId="3" fillId="3" borderId="0" xfId="2" applyAlignment="1">
      <alignment wrapText="1"/>
    </xf>
    <xf numFmtId="0" fontId="8" fillId="0" borderId="0" xfId="0" applyFont="1"/>
    <xf numFmtId="3" fontId="0" fillId="0" borderId="0" xfId="0" applyNumberFormat="1" applyAlignment="1">
      <alignment wrapText="1"/>
    </xf>
    <xf numFmtId="0" fontId="10" fillId="0" borderId="0" xfId="0" applyFont="1"/>
    <xf numFmtId="0" fontId="0" fillId="0" borderId="0" xfId="0" applyAlignment="1">
      <alignment horizontal="right"/>
    </xf>
    <xf numFmtId="0" fontId="11" fillId="0" borderId="0" xfId="0" applyFont="1"/>
    <xf numFmtId="0" fontId="12" fillId="0" borderId="0" xfId="0" applyFont="1"/>
    <xf numFmtId="0" fontId="13" fillId="0" borderId="0" xfId="0" applyFont="1"/>
    <xf numFmtId="0" fontId="14" fillId="0" borderId="0" xfId="0" applyFont="1"/>
    <xf numFmtId="0" fontId="0" fillId="0" borderId="1" xfId="0" applyBorder="1"/>
    <xf numFmtId="4" fontId="0" fillId="0" borderId="0" xfId="0" applyNumberFormat="1"/>
    <xf numFmtId="0" fontId="15" fillId="4" borderId="0" xfId="3"/>
    <xf numFmtId="0" fontId="16" fillId="0" borderId="0" xfId="0" applyFont="1"/>
    <xf numFmtId="164" fontId="0" fillId="0" borderId="0" xfId="0" applyNumberFormat="1"/>
    <xf numFmtId="0" fontId="3" fillId="3" borderId="0" xfId="2"/>
  </cellXfs>
  <cellStyles count="4">
    <cellStyle name="Bad" xfId="3" builtinId="27"/>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workbookViewId="0">
      <selection activeCell="A22" sqref="A22:F25"/>
    </sheetView>
  </sheetViews>
  <sheetFormatPr defaultRowHeight="15" x14ac:dyDescent="0.25"/>
  <cols>
    <col min="1" max="1" width="12.5703125" bestFit="1" customWidth="1"/>
    <col min="2" max="2" width="25" customWidth="1"/>
    <col min="3" max="3" width="32.42578125" customWidth="1"/>
    <col min="4" max="4" width="19.140625" bestFit="1" customWidth="1"/>
    <col min="5" max="6" width="19.140625" customWidth="1"/>
    <col min="7" max="7" width="12.7109375" customWidth="1"/>
    <col min="8" max="8" width="12.140625" bestFit="1" customWidth="1"/>
  </cols>
  <sheetData>
    <row r="1" spans="1:8" ht="15.75" thickBot="1" x14ac:dyDescent="0.3">
      <c r="A1" s="1" t="s">
        <v>7</v>
      </c>
      <c r="B1" s="1" t="s">
        <v>0</v>
      </c>
      <c r="C1" s="1" t="s">
        <v>2</v>
      </c>
      <c r="D1" s="1" t="s">
        <v>1</v>
      </c>
      <c r="E1" s="1" t="s">
        <v>189</v>
      </c>
      <c r="F1" s="1" t="s">
        <v>193</v>
      </c>
      <c r="G1" s="1" t="s">
        <v>33</v>
      </c>
      <c r="H1" s="1" t="s">
        <v>156</v>
      </c>
    </row>
    <row r="2" spans="1:8" s="2" customFormat="1" x14ac:dyDescent="0.25">
      <c r="A2" s="2" t="s">
        <v>8</v>
      </c>
      <c r="B2" s="2" t="s">
        <v>38</v>
      </c>
      <c r="C2" s="2" t="s">
        <v>3</v>
      </c>
      <c r="D2" s="2" t="s">
        <v>52</v>
      </c>
      <c r="E2" s="2" t="s">
        <v>190</v>
      </c>
      <c r="F2" s="2">
        <v>1</v>
      </c>
      <c r="G2" s="2" t="s">
        <v>32</v>
      </c>
      <c r="H2" s="2" t="s">
        <v>157</v>
      </c>
    </row>
    <row r="3" spans="1:8" s="2" customFormat="1" x14ac:dyDescent="0.25">
      <c r="A3" s="2" t="s">
        <v>9</v>
      </c>
      <c r="B3" s="2" t="s">
        <v>39</v>
      </c>
      <c r="C3" s="2" t="s">
        <v>4</v>
      </c>
      <c r="D3" s="2" t="s">
        <v>164</v>
      </c>
      <c r="E3" s="2" t="s">
        <v>190</v>
      </c>
      <c r="F3" s="2">
        <v>1</v>
      </c>
      <c r="G3" s="2" t="s">
        <v>32</v>
      </c>
      <c r="H3" s="2" t="s">
        <v>158</v>
      </c>
    </row>
    <row r="4" spans="1:8" s="2" customFormat="1" x14ac:dyDescent="0.25">
      <c r="A4" s="2" t="s">
        <v>10</v>
      </c>
      <c r="B4" s="2" t="s">
        <v>40</v>
      </c>
      <c r="C4" s="2" t="s">
        <v>5</v>
      </c>
      <c r="D4" s="2" t="s">
        <v>30</v>
      </c>
      <c r="E4" s="2" t="s">
        <v>190</v>
      </c>
      <c r="F4" s="2">
        <v>1</v>
      </c>
      <c r="G4" s="2" t="s">
        <v>32</v>
      </c>
    </row>
    <row r="5" spans="1:8" s="2" customFormat="1" x14ac:dyDescent="0.25">
      <c r="A5" s="2" t="s">
        <v>11</v>
      </c>
      <c r="B5" s="2" t="s">
        <v>41</v>
      </c>
      <c r="C5" s="2" t="s">
        <v>6</v>
      </c>
      <c r="D5" s="2" t="s">
        <v>165</v>
      </c>
      <c r="E5" s="2" t="s">
        <v>191</v>
      </c>
      <c r="F5" s="6">
        <v>4.7E-2</v>
      </c>
      <c r="G5" s="2" t="s">
        <v>32</v>
      </c>
      <c r="H5" s="2" t="s">
        <v>159</v>
      </c>
    </row>
    <row r="6" spans="1:8" s="2" customFormat="1" x14ac:dyDescent="0.25">
      <c r="A6" s="2" t="s">
        <v>12</v>
      </c>
      <c r="B6" s="2" t="s">
        <v>42</v>
      </c>
      <c r="C6" s="2" t="s">
        <v>13</v>
      </c>
      <c r="D6" s="2" t="s">
        <v>165</v>
      </c>
      <c r="E6" s="2" t="s">
        <v>191</v>
      </c>
      <c r="F6" s="6">
        <v>4.7E-2</v>
      </c>
      <c r="G6" s="2" t="s">
        <v>32</v>
      </c>
      <c r="H6" s="2" t="s">
        <v>159</v>
      </c>
    </row>
    <row r="7" spans="1:8" s="2" customFormat="1" x14ac:dyDescent="0.25">
      <c r="A7" s="2" t="s">
        <v>14</v>
      </c>
      <c r="B7" s="2" t="s">
        <v>43</v>
      </c>
      <c r="C7" s="2" t="s">
        <v>15</v>
      </c>
      <c r="D7" s="2" t="s">
        <v>166</v>
      </c>
      <c r="E7" s="2" t="s">
        <v>191</v>
      </c>
      <c r="F7" s="2">
        <v>0.19</v>
      </c>
      <c r="G7" s="2" t="s">
        <v>32</v>
      </c>
      <c r="H7" s="2" t="s">
        <v>209</v>
      </c>
    </row>
    <row r="8" spans="1:8" s="2" customFormat="1" x14ac:dyDescent="0.25">
      <c r="A8" s="2" t="s">
        <v>16</v>
      </c>
      <c r="B8" s="2" t="s">
        <v>44</v>
      </c>
      <c r="C8" s="2" t="s">
        <v>17</v>
      </c>
      <c r="D8" s="2" t="s">
        <v>167</v>
      </c>
      <c r="E8" s="2" t="s">
        <v>191</v>
      </c>
      <c r="F8" s="2">
        <v>0.16</v>
      </c>
      <c r="G8" s="2" t="s">
        <v>32</v>
      </c>
      <c r="H8" s="2" t="s">
        <v>160</v>
      </c>
    </row>
    <row r="9" spans="1:8" s="2" customFormat="1" x14ac:dyDescent="0.25">
      <c r="A9" s="2" t="s">
        <v>18</v>
      </c>
      <c r="B9" s="2" t="s">
        <v>45</v>
      </c>
      <c r="C9" s="2" t="s">
        <v>19</v>
      </c>
      <c r="D9" s="2" t="s">
        <v>168</v>
      </c>
      <c r="E9" s="2" t="s">
        <v>191</v>
      </c>
      <c r="F9" s="2">
        <v>0.28000000000000003</v>
      </c>
      <c r="G9" s="2" t="s">
        <v>32</v>
      </c>
      <c r="H9" s="2" t="s">
        <v>161</v>
      </c>
    </row>
    <row r="10" spans="1:8" s="2" customFormat="1" x14ac:dyDescent="0.25">
      <c r="A10" s="2" t="s">
        <v>20</v>
      </c>
      <c r="B10" s="2" t="s">
        <v>46</v>
      </c>
      <c r="C10" s="2" t="s">
        <v>35</v>
      </c>
      <c r="D10" s="2" t="s">
        <v>167</v>
      </c>
      <c r="E10" s="2" t="s">
        <v>191</v>
      </c>
      <c r="F10" s="2">
        <v>0.25</v>
      </c>
      <c r="G10" s="2" t="s">
        <v>32</v>
      </c>
      <c r="H10" s="2" t="s">
        <v>160</v>
      </c>
    </row>
    <row r="11" spans="1:8" s="2" customFormat="1" x14ac:dyDescent="0.25">
      <c r="A11" s="2" t="s">
        <v>34</v>
      </c>
      <c r="B11" s="2" t="s">
        <v>47</v>
      </c>
      <c r="C11" s="2" t="s">
        <v>21</v>
      </c>
      <c r="D11" s="2" t="s">
        <v>167</v>
      </c>
      <c r="E11" s="2" t="s">
        <v>191</v>
      </c>
      <c r="F11" s="2">
        <v>0.18</v>
      </c>
      <c r="G11" s="2" t="s">
        <v>32</v>
      </c>
      <c r="H11" s="2" t="s">
        <v>160</v>
      </c>
    </row>
    <row r="12" spans="1:8" s="2" customFormat="1" x14ac:dyDescent="0.25">
      <c r="A12" s="2" t="s">
        <v>22</v>
      </c>
      <c r="B12" s="2" t="s">
        <v>48</v>
      </c>
      <c r="C12" s="2" t="s">
        <v>23</v>
      </c>
      <c r="D12" s="2" t="s">
        <v>169</v>
      </c>
      <c r="E12" s="2" t="s">
        <v>192</v>
      </c>
      <c r="F12" s="2">
        <v>1</v>
      </c>
      <c r="G12" s="2" t="s">
        <v>32</v>
      </c>
      <c r="H12" s="2" t="s">
        <v>214</v>
      </c>
    </row>
    <row r="13" spans="1:8" s="2" customFormat="1" x14ac:dyDescent="0.25">
      <c r="A13" s="2" t="s">
        <v>24</v>
      </c>
      <c r="B13" s="2" t="s">
        <v>36</v>
      </c>
      <c r="C13" s="2" t="s">
        <v>25</v>
      </c>
      <c r="D13" s="2" t="s">
        <v>170</v>
      </c>
      <c r="E13" s="2" t="s">
        <v>191</v>
      </c>
      <c r="F13" s="2">
        <v>0.46</v>
      </c>
      <c r="G13" s="2" t="s">
        <v>32</v>
      </c>
      <c r="H13" s="2" t="s">
        <v>162</v>
      </c>
    </row>
    <row r="14" spans="1:8" s="2" customFormat="1" x14ac:dyDescent="0.25">
      <c r="A14" s="2" t="s">
        <v>26</v>
      </c>
      <c r="B14" s="2" t="s">
        <v>49</v>
      </c>
      <c r="C14" s="2" t="s">
        <v>27</v>
      </c>
      <c r="D14" s="2" t="s">
        <v>31</v>
      </c>
      <c r="E14" s="2" t="s">
        <v>191</v>
      </c>
      <c r="F14" s="2">
        <v>0.76</v>
      </c>
      <c r="G14" s="2" t="s">
        <v>32</v>
      </c>
      <c r="H14" s="2" t="s">
        <v>163</v>
      </c>
    </row>
    <row r="15" spans="1:8" s="2" customFormat="1" x14ac:dyDescent="0.25">
      <c r="A15" s="2" t="s">
        <v>28</v>
      </c>
      <c r="B15" s="2" t="s">
        <v>37</v>
      </c>
      <c r="C15" s="2" t="s">
        <v>29</v>
      </c>
      <c r="D15" s="2" t="s">
        <v>170</v>
      </c>
      <c r="E15" s="2" t="s">
        <v>191</v>
      </c>
      <c r="F15" s="2">
        <v>0.46</v>
      </c>
      <c r="G15" s="2" t="s">
        <v>32</v>
      </c>
      <c r="H15" s="2" t="s">
        <v>162</v>
      </c>
    </row>
    <row r="16" spans="1:8" x14ac:dyDescent="0.25">
      <c r="A16" s="2" t="s">
        <v>226</v>
      </c>
      <c r="B16" s="2" t="s">
        <v>231</v>
      </c>
      <c r="C16" s="2" t="s">
        <v>230</v>
      </c>
      <c r="D16" s="2" t="s">
        <v>179</v>
      </c>
      <c r="E16" s="2" t="s">
        <v>191</v>
      </c>
      <c r="F16" s="2">
        <v>0.02</v>
      </c>
      <c r="G16" s="2" t="s">
        <v>32</v>
      </c>
      <c r="H16" s="2" t="s">
        <v>229</v>
      </c>
    </row>
    <row r="17" spans="1:8" x14ac:dyDescent="0.25">
      <c r="A17" s="2" t="s">
        <v>51</v>
      </c>
      <c r="B17" s="2" t="s">
        <v>232</v>
      </c>
      <c r="C17" s="2" t="s">
        <v>230</v>
      </c>
      <c r="D17" s="2" t="s">
        <v>180</v>
      </c>
      <c r="E17" s="2" t="s">
        <v>192</v>
      </c>
      <c r="F17" s="2">
        <v>1</v>
      </c>
      <c r="G17" s="2" t="s">
        <v>32</v>
      </c>
      <c r="H17" s="2" t="s">
        <v>238</v>
      </c>
    </row>
    <row r="18" spans="1:8" x14ac:dyDescent="0.25">
      <c r="A18" s="3"/>
    </row>
    <row r="19" spans="1:8" x14ac:dyDescent="0.25">
      <c r="A19" s="3" t="s">
        <v>171</v>
      </c>
    </row>
    <row r="20" spans="1:8" x14ac:dyDescent="0.25">
      <c r="A20" s="3"/>
    </row>
    <row r="21" spans="1:8" x14ac:dyDescent="0.25">
      <c r="A21" s="21" t="s">
        <v>240</v>
      </c>
      <c r="B21" s="5" t="s">
        <v>219</v>
      </c>
      <c r="C21" s="5" t="s">
        <v>216</v>
      </c>
      <c r="D21" s="21" t="s">
        <v>53</v>
      </c>
      <c r="E21" s="4" t="s">
        <v>233</v>
      </c>
      <c r="F21" s="4">
        <v>1</v>
      </c>
      <c r="G21" s="2" t="s">
        <v>32</v>
      </c>
      <c r="H21" t="s">
        <v>239</v>
      </c>
    </row>
    <row r="22" spans="1:8" x14ac:dyDescent="0.25">
      <c r="A22" s="5" t="s">
        <v>56</v>
      </c>
      <c r="B22" s="5" t="s">
        <v>218</v>
      </c>
      <c r="C22" s="5" t="s">
        <v>217</v>
      </c>
      <c r="D22" s="21" t="s">
        <v>55</v>
      </c>
      <c r="E22" s="4" t="s">
        <v>233</v>
      </c>
      <c r="F22" s="4">
        <v>1</v>
      </c>
      <c r="G22" s="2" t="s">
        <v>32</v>
      </c>
    </row>
    <row r="23" spans="1:8" x14ac:dyDescent="0.25">
      <c r="A23" s="5" t="s">
        <v>58</v>
      </c>
      <c r="B23" s="5" t="s">
        <v>220</v>
      </c>
      <c r="C23" s="5" t="s">
        <v>221</v>
      </c>
      <c r="D23" s="21" t="s">
        <v>57</v>
      </c>
      <c r="E23" s="4" t="s">
        <v>191</v>
      </c>
      <c r="F23" s="4"/>
      <c r="G23" s="2" t="s">
        <v>32</v>
      </c>
    </row>
    <row r="24" spans="1:8" x14ac:dyDescent="0.25">
      <c r="A24" s="5" t="s">
        <v>60</v>
      </c>
      <c r="B24" s="5" t="s">
        <v>223</v>
      </c>
      <c r="C24" s="5" t="s">
        <v>222</v>
      </c>
      <c r="D24" s="21" t="s">
        <v>59</v>
      </c>
      <c r="E24" s="4" t="s">
        <v>190</v>
      </c>
      <c r="F24" s="4">
        <v>1</v>
      </c>
      <c r="G24" s="2" t="s">
        <v>32</v>
      </c>
    </row>
    <row r="25" spans="1:8" x14ac:dyDescent="0.25">
      <c r="A25" s="5" t="s">
        <v>62</v>
      </c>
      <c r="B25" s="5" t="s">
        <v>227</v>
      </c>
      <c r="C25" s="5" t="s">
        <v>228</v>
      </c>
      <c r="D25" s="21" t="s">
        <v>61</v>
      </c>
      <c r="E25" s="4" t="s">
        <v>233</v>
      </c>
      <c r="F25" s="4">
        <v>1</v>
      </c>
      <c r="G25" s="2" t="s">
        <v>32</v>
      </c>
    </row>
    <row r="28" spans="1:8" x14ac:dyDescent="0.25">
      <c r="A28" s="23" t="s">
        <v>241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A374-70E7-49B3-8BE8-C981B1F9AFFA}">
  <dimension ref="A1:G367"/>
  <sheetViews>
    <sheetView tabSelected="1" topLeftCell="A51" workbookViewId="0">
      <selection activeCell="E88" sqref="E88"/>
    </sheetView>
  </sheetViews>
  <sheetFormatPr defaultRowHeight="15" x14ac:dyDescent="0.25"/>
  <cols>
    <col min="2" max="2" width="25.28515625" customWidth="1"/>
    <col min="3" max="3" width="15.28515625" bestFit="1" customWidth="1"/>
    <col min="4" max="4" width="20.28515625" bestFit="1" customWidth="1"/>
    <col min="5" max="5" width="20.28515625" customWidth="1"/>
    <col min="6" max="6" width="17" bestFit="1" customWidth="1"/>
    <col min="7" max="7" width="21.42578125" bestFit="1" customWidth="1"/>
  </cols>
  <sheetData>
    <row r="1" spans="1:7" ht="15.75" thickBot="1" x14ac:dyDescent="0.3">
      <c r="A1" s="18" t="s">
        <v>224</v>
      </c>
      <c r="B1" s="18" t="s">
        <v>0</v>
      </c>
      <c r="C1" s="18" t="s">
        <v>204</v>
      </c>
      <c r="D1" s="18" t="s">
        <v>205</v>
      </c>
      <c r="E1" s="18" t="s">
        <v>206</v>
      </c>
    </row>
    <row r="2" spans="1:7" x14ac:dyDescent="0.25">
      <c r="A2" t="s">
        <v>8</v>
      </c>
      <c r="B2" t="s">
        <v>178</v>
      </c>
      <c r="C2">
        <v>1</v>
      </c>
      <c r="D2">
        <v>302.8</v>
      </c>
      <c r="E2">
        <v>1</v>
      </c>
      <c r="G2" s="13"/>
    </row>
    <row r="3" spans="1:7" x14ac:dyDescent="0.25">
      <c r="A3" t="s">
        <v>8</v>
      </c>
      <c r="B3" t="s">
        <v>178</v>
      </c>
      <c r="C3">
        <f>SUM(C2+1)</f>
        <v>2</v>
      </c>
      <c r="D3">
        <v>274.3</v>
      </c>
      <c r="E3">
        <f>SUM(E2+1)</f>
        <v>2</v>
      </c>
      <c r="G3" s="13"/>
    </row>
    <row r="4" spans="1:7" x14ac:dyDescent="0.25">
      <c r="A4" t="s">
        <v>8</v>
      </c>
      <c r="B4" t="s">
        <v>178</v>
      </c>
      <c r="C4">
        <f t="shared" ref="C4:E24" si="0">SUM(C3+1)</f>
        <v>3</v>
      </c>
      <c r="D4">
        <v>272.7</v>
      </c>
      <c r="E4">
        <f t="shared" si="0"/>
        <v>3</v>
      </c>
      <c r="G4" s="13"/>
    </row>
    <row r="5" spans="1:7" x14ac:dyDescent="0.25">
      <c r="A5" t="s">
        <v>8</v>
      </c>
      <c r="B5" t="s">
        <v>178</v>
      </c>
      <c r="C5">
        <f t="shared" si="0"/>
        <v>4</v>
      </c>
      <c r="D5">
        <v>142.69999999999999</v>
      </c>
      <c r="E5">
        <f t="shared" si="0"/>
        <v>4</v>
      </c>
      <c r="G5" s="13"/>
    </row>
    <row r="6" spans="1:7" x14ac:dyDescent="0.25">
      <c r="A6" t="s">
        <v>8</v>
      </c>
      <c r="B6" t="s">
        <v>178</v>
      </c>
      <c r="C6">
        <f t="shared" si="0"/>
        <v>5</v>
      </c>
      <c r="D6">
        <v>132.80000000000001</v>
      </c>
      <c r="E6">
        <f t="shared" si="0"/>
        <v>5</v>
      </c>
      <c r="G6" s="13"/>
    </row>
    <row r="7" spans="1:7" x14ac:dyDescent="0.25">
      <c r="A7" t="s">
        <v>8</v>
      </c>
      <c r="B7" t="s">
        <v>178</v>
      </c>
      <c r="C7">
        <f t="shared" si="0"/>
        <v>6</v>
      </c>
      <c r="D7">
        <v>138.9</v>
      </c>
      <c r="E7">
        <f t="shared" si="0"/>
        <v>6</v>
      </c>
      <c r="G7" s="13"/>
    </row>
    <row r="8" spans="1:7" x14ac:dyDescent="0.25">
      <c r="A8" t="s">
        <v>8</v>
      </c>
      <c r="B8" t="s">
        <v>178</v>
      </c>
      <c r="C8">
        <f t="shared" si="0"/>
        <v>7</v>
      </c>
      <c r="D8">
        <v>125.3</v>
      </c>
      <c r="E8">
        <f t="shared" si="0"/>
        <v>7</v>
      </c>
      <c r="G8" s="13"/>
    </row>
    <row r="9" spans="1:7" x14ac:dyDescent="0.25">
      <c r="A9" t="s">
        <v>8</v>
      </c>
      <c r="B9" t="s">
        <v>178</v>
      </c>
      <c r="C9">
        <f t="shared" si="0"/>
        <v>8</v>
      </c>
      <c r="D9">
        <v>127.9</v>
      </c>
      <c r="E9">
        <f t="shared" si="0"/>
        <v>8</v>
      </c>
      <c r="G9" s="13"/>
    </row>
    <row r="10" spans="1:7" x14ac:dyDescent="0.25">
      <c r="A10" t="s">
        <v>8</v>
      </c>
      <c r="B10" t="s">
        <v>178</v>
      </c>
      <c r="C10">
        <f t="shared" si="0"/>
        <v>9</v>
      </c>
      <c r="D10" s="12">
        <v>115.5</v>
      </c>
      <c r="E10">
        <f t="shared" si="0"/>
        <v>9</v>
      </c>
      <c r="G10" s="13"/>
    </row>
    <row r="11" spans="1:7" x14ac:dyDescent="0.25">
      <c r="A11" t="s">
        <v>8</v>
      </c>
      <c r="B11" t="s">
        <v>178</v>
      </c>
      <c r="C11">
        <f t="shared" si="0"/>
        <v>10</v>
      </c>
      <c r="D11" s="12">
        <v>64.2</v>
      </c>
      <c r="E11">
        <f t="shared" si="0"/>
        <v>10</v>
      </c>
      <c r="G11" s="13"/>
    </row>
    <row r="12" spans="1:7" x14ac:dyDescent="0.25">
      <c r="A12" t="s">
        <v>8</v>
      </c>
      <c r="B12" t="s">
        <v>178</v>
      </c>
      <c r="C12">
        <f t="shared" si="0"/>
        <v>11</v>
      </c>
      <c r="D12" s="12">
        <v>108.2</v>
      </c>
      <c r="E12">
        <f t="shared" si="0"/>
        <v>11</v>
      </c>
      <c r="G12" s="13"/>
    </row>
    <row r="13" spans="1:7" x14ac:dyDescent="0.25">
      <c r="A13" t="s">
        <v>8</v>
      </c>
      <c r="B13" t="s">
        <v>178</v>
      </c>
      <c r="C13">
        <f t="shared" si="0"/>
        <v>12</v>
      </c>
      <c r="D13" s="12">
        <v>102.9</v>
      </c>
      <c r="E13">
        <f t="shared" si="0"/>
        <v>12</v>
      </c>
      <c r="G13" s="13"/>
    </row>
    <row r="14" spans="1:7" x14ac:dyDescent="0.25">
      <c r="A14" t="s">
        <v>8</v>
      </c>
      <c r="B14" t="s">
        <v>178</v>
      </c>
      <c r="C14">
        <f t="shared" si="0"/>
        <v>13</v>
      </c>
      <c r="D14" s="12">
        <v>120.6</v>
      </c>
      <c r="E14">
        <f t="shared" si="0"/>
        <v>13</v>
      </c>
      <c r="G14" s="13"/>
    </row>
    <row r="15" spans="1:7" x14ac:dyDescent="0.25">
      <c r="A15" t="s">
        <v>8</v>
      </c>
      <c r="B15" t="s">
        <v>178</v>
      </c>
      <c r="C15">
        <f t="shared" si="0"/>
        <v>14</v>
      </c>
      <c r="D15" s="12">
        <v>82.5</v>
      </c>
      <c r="E15">
        <f t="shared" si="0"/>
        <v>14</v>
      </c>
      <c r="G15" s="13"/>
    </row>
    <row r="16" spans="1:7" x14ac:dyDescent="0.25">
      <c r="A16" t="s">
        <v>8</v>
      </c>
      <c r="B16" t="s">
        <v>178</v>
      </c>
      <c r="C16">
        <f t="shared" si="0"/>
        <v>15</v>
      </c>
      <c r="D16" s="12">
        <v>112.8</v>
      </c>
      <c r="E16">
        <f t="shared" si="0"/>
        <v>15</v>
      </c>
      <c r="G16" s="13"/>
    </row>
    <row r="17" spans="1:7" x14ac:dyDescent="0.25">
      <c r="A17" t="s">
        <v>8</v>
      </c>
      <c r="B17" t="s">
        <v>178</v>
      </c>
      <c r="C17">
        <f t="shared" si="0"/>
        <v>16</v>
      </c>
      <c r="D17" s="12">
        <v>67.599999999999994</v>
      </c>
      <c r="E17">
        <f t="shared" si="0"/>
        <v>16</v>
      </c>
      <c r="G17" s="13"/>
    </row>
    <row r="18" spans="1:7" x14ac:dyDescent="0.25">
      <c r="A18" t="s">
        <v>8</v>
      </c>
      <c r="B18" t="s">
        <v>178</v>
      </c>
      <c r="C18">
        <f t="shared" si="0"/>
        <v>17</v>
      </c>
      <c r="D18" s="12">
        <v>97.3</v>
      </c>
      <c r="E18">
        <f t="shared" si="0"/>
        <v>17</v>
      </c>
      <c r="G18" s="13"/>
    </row>
    <row r="19" spans="1:7" x14ac:dyDescent="0.25">
      <c r="A19" t="s">
        <v>8</v>
      </c>
      <c r="B19" t="s">
        <v>178</v>
      </c>
      <c r="C19">
        <f t="shared" si="0"/>
        <v>18</v>
      </c>
      <c r="D19" s="12">
        <v>96.9</v>
      </c>
      <c r="E19">
        <f t="shared" si="0"/>
        <v>18</v>
      </c>
      <c r="G19" s="13"/>
    </row>
    <row r="20" spans="1:7" x14ac:dyDescent="0.25">
      <c r="A20" t="s">
        <v>8</v>
      </c>
      <c r="B20" t="s">
        <v>178</v>
      </c>
      <c r="C20">
        <f t="shared" si="0"/>
        <v>19</v>
      </c>
      <c r="D20" s="12">
        <v>75.5</v>
      </c>
      <c r="E20">
        <f t="shared" si="0"/>
        <v>19</v>
      </c>
      <c r="G20" s="13"/>
    </row>
    <row r="21" spans="1:7" x14ac:dyDescent="0.25">
      <c r="A21" t="s">
        <v>8</v>
      </c>
      <c r="B21" t="s">
        <v>178</v>
      </c>
      <c r="C21">
        <f t="shared" si="0"/>
        <v>20</v>
      </c>
      <c r="D21" s="12">
        <v>71.5</v>
      </c>
      <c r="E21">
        <f t="shared" si="0"/>
        <v>20</v>
      </c>
      <c r="G21" s="13"/>
    </row>
    <row r="22" spans="1:7" x14ac:dyDescent="0.25">
      <c r="A22" t="s">
        <v>8</v>
      </c>
      <c r="B22" t="s">
        <v>178</v>
      </c>
      <c r="C22">
        <f t="shared" si="0"/>
        <v>21</v>
      </c>
      <c r="D22" s="12">
        <v>16.3</v>
      </c>
      <c r="E22">
        <f t="shared" si="0"/>
        <v>21</v>
      </c>
      <c r="G22" s="13"/>
    </row>
    <row r="23" spans="1:7" x14ac:dyDescent="0.25">
      <c r="A23" t="s">
        <v>8</v>
      </c>
      <c r="B23" t="s">
        <v>178</v>
      </c>
      <c r="C23">
        <f t="shared" si="0"/>
        <v>22</v>
      </c>
      <c r="D23" s="12">
        <v>51.9</v>
      </c>
      <c r="E23">
        <f t="shared" si="0"/>
        <v>22</v>
      </c>
      <c r="G23" s="13"/>
    </row>
    <row r="24" spans="1:7" x14ac:dyDescent="0.25">
      <c r="A24" t="s">
        <v>8</v>
      </c>
      <c r="B24" t="s">
        <v>178</v>
      </c>
      <c r="C24">
        <f t="shared" si="0"/>
        <v>23</v>
      </c>
      <c r="D24" s="12">
        <v>71.900000000000006</v>
      </c>
      <c r="E24">
        <f t="shared" si="0"/>
        <v>23</v>
      </c>
      <c r="G24" s="13"/>
    </row>
    <row r="25" spans="1:7" x14ac:dyDescent="0.25">
      <c r="A25" t="s">
        <v>8</v>
      </c>
      <c r="B25" t="s">
        <v>178</v>
      </c>
      <c r="C25">
        <f>SUM(C24+1)</f>
        <v>24</v>
      </c>
      <c r="D25" s="12">
        <v>44</v>
      </c>
      <c r="E25">
        <f>SUM(E24+1)</f>
        <v>24</v>
      </c>
      <c r="G25" s="13"/>
    </row>
    <row r="26" spans="1:7" x14ac:dyDescent="0.25">
      <c r="A26" t="s">
        <v>8</v>
      </c>
      <c r="B26" t="s">
        <v>178</v>
      </c>
      <c r="C26">
        <f>SUM(C25+1)</f>
        <v>25</v>
      </c>
      <c r="D26" s="12">
        <v>83.3</v>
      </c>
      <c r="E26">
        <f>SUM(E25+1)</f>
        <v>25</v>
      </c>
      <c r="G26" s="13"/>
    </row>
    <row r="27" spans="1:7" x14ac:dyDescent="0.25">
      <c r="A27" t="s">
        <v>8</v>
      </c>
      <c r="B27" t="s">
        <v>178</v>
      </c>
      <c r="C27">
        <f>SUM(C26+1)</f>
        <v>26</v>
      </c>
      <c r="D27" s="12">
        <v>51.3</v>
      </c>
      <c r="E27">
        <f>SUM(E26+1)</f>
        <v>26</v>
      </c>
      <c r="G27" s="13"/>
    </row>
    <row r="28" spans="1:7" x14ac:dyDescent="0.25">
      <c r="A28" t="s">
        <v>8</v>
      </c>
      <c r="B28" t="s">
        <v>178</v>
      </c>
      <c r="C28" s="13" t="s">
        <v>181</v>
      </c>
      <c r="D28" s="12">
        <v>99.2</v>
      </c>
      <c r="E28" s="13" t="s">
        <v>181</v>
      </c>
      <c r="G28" s="13"/>
    </row>
    <row r="29" spans="1:7" x14ac:dyDescent="0.25">
      <c r="A29" t="s">
        <v>9</v>
      </c>
      <c r="B29" t="s">
        <v>164</v>
      </c>
      <c r="C29">
        <v>1</v>
      </c>
      <c r="D29">
        <v>312.2</v>
      </c>
      <c r="E29">
        <v>1</v>
      </c>
    </row>
    <row r="30" spans="1:7" x14ac:dyDescent="0.25">
      <c r="A30" t="s">
        <v>9</v>
      </c>
      <c r="B30" t="s">
        <v>164</v>
      </c>
      <c r="C30">
        <f>SUM(C29+1)</f>
        <v>2</v>
      </c>
      <c r="D30">
        <v>281.73599999999999</v>
      </c>
      <c r="E30">
        <f>SUM(E29+1)</f>
        <v>2</v>
      </c>
    </row>
    <row r="31" spans="1:7" x14ac:dyDescent="0.25">
      <c r="A31" t="s">
        <v>9</v>
      </c>
      <c r="B31" t="s">
        <v>164</v>
      </c>
      <c r="C31">
        <f t="shared" ref="C31:E51" si="1">SUM(C30+1)</f>
        <v>3</v>
      </c>
      <c r="D31">
        <v>262.48399999999998</v>
      </c>
      <c r="E31">
        <f t="shared" si="1"/>
        <v>3</v>
      </c>
    </row>
    <row r="32" spans="1:7" x14ac:dyDescent="0.25">
      <c r="A32" t="s">
        <v>9</v>
      </c>
      <c r="B32" t="s">
        <v>164</v>
      </c>
      <c r="C32">
        <f t="shared" si="1"/>
        <v>4</v>
      </c>
      <c r="D32">
        <v>148.87700000000001</v>
      </c>
      <c r="E32">
        <f t="shared" si="1"/>
        <v>4</v>
      </c>
    </row>
    <row r="33" spans="1:5" x14ac:dyDescent="0.25">
      <c r="A33" t="s">
        <v>9</v>
      </c>
      <c r="B33" t="s">
        <v>164</v>
      </c>
      <c r="C33">
        <f t="shared" si="1"/>
        <v>5</v>
      </c>
      <c r="D33">
        <v>139.738</v>
      </c>
      <c r="E33">
        <f t="shared" si="1"/>
        <v>5</v>
      </c>
    </row>
    <row r="34" spans="1:5" x14ac:dyDescent="0.25">
      <c r="A34" t="s">
        <v>9</v>
      </c>
      <c r="B34" t="s">
        <v>164</v>
      </c>
      <c r="C34">
        <f t="shared" si="1"/>
        <v>6</v>
      </c>
      <c r="D34">
        <v>141.18299999999999</v>
      </c>
      <c r="E34">
        <f t="shared" si="1"/>
        <v>6</v>
      </c>
    </row>
    <row r="35" spans="1:5" x14ac:dyDescent="0.25">
      <c r="A35" t="s">
        <v>9</v>
      </c>
      <c r="B35" t="s">
        <v>164</v>
      </c>
      <c r="C35">
        <f t="shared" si="1"/>
        <v>7</v>
      </c>
      <c r="D35">
        <v>134.691</v>
      </c>
      <c r="E35">
        <f t="shared" si="1"/>
        <v>7</v>
      </c>
    </row>
    <row r="36" spans="1:5" x14ac:dyDescent="0.25">
      <c r="A36" t="s">
        <v>9</v>
      </c>
      <c r="B36" t="s">
        <v>164</v>
      </c>
      <c r="C36">
        <f t="shared" si="1"/>
        <v>8</v>
      </c>
      <c r="D36">
        <v>112.929</v>
      </c>
      <c r="E36">
        <f t="shared" si="1"/>
        <v>8</v>
      </c>
    </row>
    <row r="37" spans="1:5" x14ac:dyDescent="0.25">
      <c r="A37" t="s">
        <v>9</v>
      </c>
      <c r="B37" t="s">
        <v>164</v>
      </c>
      <c r="C37">
        <f t="shared" si="1"/>
        <v>9</v>
      </c>
      <c r="D37">
        <v>115.373</v>
      </c>
      <c r="E37">
        <f t="shared" si="1"/>
        <v>9</v>
      </c>
    </row>
    <row r="38" spans="1:5" x14ac:dyDescent="0.25">
      <c r="A38" t="s">
        <v>9</v>
      </c>
      <c r="B38" t="s">
        <v>164</v>
      </c>
      <c r="C38">
        <f t="shared" si="1"/>
        <v>10</v>
      </c>
      <c r="D38">
        <v>106.752</v>
      </c>
      <c r="E38">
        <f t="shared" si="1"/>
        <v>10</v>
      </c>
    </row>
    <row r="39" spans="1:5" x14ac:dyDescent="0.25">
      <c r="A39" t="s">
        <v>9</v>
      </c>
      <c r="B39" t="s">
        <v>164</v>
      </c>
      <c r="C39">
        <f t="shared" si="1"/>
        <v>11</v>
      </c>
      <c r="D39">
        <v>100.82299999999999</v>
      </c>
      <c r="E39">
        <f t="shared" si="1"/>
        <v>11</v>
      </c>
    </row>
    <row r="40" spans="1:5" x14ac:dyDescent="0.25">
      <c r="A40" t="s">
        <v>9</v>
      </c>
      <c r="B40" t="s">
        <v>164</v>
      </c>
      <c r="C40">
        <f t="shared" si="1"/>
        <v>12</v>
      </c>
      <c r="D40">
        <v>112.057</v>
      </c>
      <c r="E40">
        <f t="shared" si="1"/>
        <v>12</v>
      </c>
    </row>
    <row r="41" spans="1:5" x14ac:dyDescent="0.25">
      <c r="A41" t="s">
        <v>9</v>
      </c>
      <c r="B41" t="s">
        <v>164</v>
      </c>
      <c r="C41">
        <f t="shared" si="1"/>
        <v>13</v>
      </c>
      <c r="D41">
        <v>113.009</v>
      </c>
      <c r="E41">
        <f t="shared" si="1"/>
        <v>13</v>
      </c>
    </row>
    <row r="42" spans="1:5" x14ac:dyDescent="0.25">
      <c r="A42" t="s">
        <v>9</v>
      </c>
      <c r="B42" t="s">
        <v>164</v>
      </c>
      <c r="C42">
        <f t="shared" si="1"/>
        <v>14</v>
      </c>
      <c r="D42">
        <v>98.447000000000003</v>
      </c>
      <c r="E42">
        <f t="shared" si="1"/>
        <v>14</v>
      </c>
    </row>
    <row r="43" spans="1:5" x14ac:dyDescent="0.25">
      <c r="A43" t="s">
        <v>9</v>
      </c>
      <c r="B43" t="s">
        <v>164</v>
      </c>
      <c r="C43">
        <f t="shared" si="1"/>
        <v>15</v>
      </c>
      <c r="D43">
        <v>102.363</v>
      </c>
      <c r="E43">
        <f t="shared" si="1"/>
        <v>15</v>
      </c>
    </row>
    <row r="44" spans="1:5" x14ac:dyDescent="0.25">
      <c r="A44" t="s">
        <v>9</v>
      </c>
      <c r="B44" t="s">
        <v>164</v>
      </c>
      <c r="C44">
        <f t="shared" si="1"/>
        <v>16</v>
      </c>
      <c r="D44">
        <v>90.305999999999997</v>
      </c>
      <c r="E44">
        <f t="shared" si="1"/>
        <v>16</v>
      </c>
    </row>
    <row r="45" spans="1:5" x14ac:dyDescent="0.25">
      <c r="A45" t="s">
        <v>9</v>
      </c>
      <c r="B45" t="s">
        <v>164</v>
      </c>
      <c r="C45">
        <f t="shared" si="1"/>
        <v>17</v>
      </c>
      <c r="D45">
        <v>98.286000000000001</v>
      </c>
      <c r="E45">
        <f t="shared" si="1"/>
        <v>17</v>
      </c>
    </row>
    <row r="46" spans="1:5" x14ac:dyDescent="0.25">
      <c r="A46" t="s">
        <v>9</v>
      </c>
      <c r="B46" t="s">
        <v>164</v>
      </c>
      <c r="C46">
        <f t="shared" si="1"/>
        <v>18</v>
      </c>
      <c r="D46">
        <v>98.465000000000003</v>
      </c>
      <c r="E46">
        <f t="shared" si="1"/>
        <v>18</v>
      </c>
    </row>
    <row r="47" spans="1:5" x14ac:dyDescent="0.25">
      <c r="A47" t="s">
        <v>9</v>
      </c>
      <c r="B47" t="s">
        <v>164</v>
      </c>
      <c r="C47">
        <f t="shared" si="1"/>
        <v>19</v>
      </c>
      <c r="D47">
        <v>87.643000000000001</v>
      </c>
      <c r="E47">
        <f t="shared" si="1"/>
        <v>19</v>
      </c>
    </row>
    <row r="48" spans="1:5" x14ac:dyDescent="0.25">
      <c r="A48" t="s">
        <v>9</v>
      </c>
      <c r="B48" t="s">
        <v>164</v>
      </c>
      <c r="C48">
        <f t="shared" si="1"/>
        <v>20</v>
      </c>
      <c r="D48">
        <v>75.484999999999999</v>
      </c>
      <c r="E48">
        <f t="shared" si="1"/>
        <v>20</v>
      </c>
    </row>
    <row r="49" spans="1:5" x14ac:dyDescent="0.25">
      <c r="A49" t="s">
        <v>9</v>
      </c>
      <c r="B49" t="s">
        <v>164</v>
      </c>
      <c r="C49">
        <f t="shared" si="1"/>
        <v>21</v>
      </c>
      <c r="D49">
        <v>72.025000000000006</v>
      </c>
      <c r="E49">
        <f t="shared" si="1"/>
        <v>21</v>
      </c>
    </row>
    <row r="50" spans="1:5" x14ac:dyDescent="0.25">
      <c r="A50" t="s">
        <v>9</v>
      </c>
      <c r="B50" t="s">
        <v>164</v>
      </c>
      <c r="C50">
        <f t="shared" si="1"/>
        <v>22</v>
      </c>
      <c r="D50">
        <v>73.599999999999994</v>
      </c>
      <c r="E50">
        <f t="shared" si="1"/>
        <v>22</v>
      </c>
    </row>
    <row r="51" spans="1:5" x14ac:dyDescent="0.25">
      <c r="A51" t="s">
        <v>9</v>
      </c>
      <c r="B51" t="s">
        <v>164</v>
      </c>
      <c r="C51">
        <f t="shared" si="1"/>
        <v>23</v>
      </c>
      <c r="D51">
        <v>86.843999999999994</v>
      </c>
      <c r="E51">
        <f t="shared" si="1"/>
        <v>23</v>
      </c>
    </row>
    <row r="52" spans="1:5" x14ac:dyDescent="0.25">
      <c r="A52" t="s">
        <v>9</v>
      </c>
      <c r="B52" t="s">
        <v>164</v>
      </c>
      <c r="C52">
        <f>SUM(C51+1)</f>
        <v>24</v>
      </c>
      <c r="D52">
        <v>71.945999999999998</v>
      </c>
      <c r="E52">
        <f>SUM(E51+1)</f>
        <v>24</v>
      </c>
    </row>
    <row r="53" spans="1:5" x14ac:dyDescent="0.25">
      <c r="A53" t="s">
        <v>9</v>
      </c>
      <c r="B53" t="s">
        <v>164</v>
      </c>
      <c r="C53">
        <f>SUM(C52+1)</f>
        <v>25</v>
      </c>
      <c r="D53">
        <v>69.641000000000005</v>
      </c>
      <c r="E53">
        <f>SUM(E52+1)</f>
        <v>25</v>
      </c>
    </row>
    <row r="54" spans="1:5" x14ac:dyDescent="0.25">
      <c r="A54" t="s">
        <v>9</v>
      </c>
      <c r="B54" t="s">
        <v>164</v>
      </c>
      <c r="C54">
        <f>SUM(C53+1)</f>
        <v>26</v>
      </c>
      <c r="D54">
        <v>65.241</v>
      </c>
      <c r="E54">
        <f>SUM(E53+1)</f>
        <v>26</v>
      </c>
    </row>
    <row r="55" spans="1:5" x14ac:dyDescent="0.25">
      <c r="A55" t="s">
        <v>9</v>
      </c>
      <c r="B55" t="s">
        <v>164</v>
      </c>
      <c r="C55" s="13" t="s">
        <v>181</v>
      </c>
      <c r="D55">
        <v>168.81100000000001</v>
      </c>
      <c r="E55" s="13" t="s">
        <v>181</v>
      </c>
    </row>
    <row r="56" spans="1:5" x14ac:dyDescent="0.25">
      <c r="A56" t="s">
        <v>10</v>
      </c>
      <c r="B56" t="s">
        <v>30</v>
      </c>
      <c r="C56">
        <v>1</v>
      </c>
      <c r="D56" s="14">
        <v>88.7</v>
      </c>
      <c r="E56">
        <v>1</v>
      </c>
    </row>
    <row r="57" spans="1:5" x14ac:dyDescent="0.25">
      <c r="A57" t="s">
        <v>10</v>
      </c>
      <c r="B57" t="s">
        <v>30</v>
      </c>
      <c r="C57">
        <f>SUM(C56+1)</f>
        <v>2</v>
      </c>
      <c r="D57" s="14">
        <v>55.4</v>
      </c>
      <c r="E57">
        <f>SUM(E56+1)</f>
        <v>2</v>
      </c>
    </row>
    <row r="58" spans="1:5" x14ac:dyDescent="0.25">
      <c r="A58" t="s">
        <v>10</v>
      </c>
      <c r="B58" t="s">
        <v>30</v>
      </c>
      <c r="C58">
        <f t="shared" ref="C58:E87" si="2">SUM(C57+1)</f>
        <v>3</v>
      </c>
      <c r="D58" s="14">
        <v>63.8</v>
      </c>
      <c r="E58">
        <f t="shared" si="2"/>
        <v>3</v>
      </c>
    </row>
    <row r="59" spans="1:5" x14ac:dyDescent="0.25">
      <c r="A59" t="s">
        <v>10</v>
      </c>
      <c r="B59" t="s">
        <v>30</v>
      </c>
      <c r="C59">
        <f t="shared" si="2"/>
        <v>4</v>
      </c>
      <c r="D59" s="14">
        <v>81.3</v>
      </c>
      <c r="E59">
        <f t="shared" si="2"/>
        <v>4</v>
      </c>
    </row>
    <row r="60" spans="1:5" x14ac:dyDescent="0.25">
      <c r="A60" t="s">
        <v>10</v>
      </c>
      <c r="B60" t="s">
        <v>30</v>
      </c>
      <c r="C60">
        <f t="shared" si="2"/>
        <v>5</v>
      </c>
      <c r="D60" s="14">
        <v>126.8</v>
      </c>
      <c r="E60">
        <f t="shared" si="2"/>
        <v>5</v>
      </c>
    </row>
    <row r="61" spans="1:5" x14ac:dyDescent="0.25">
      <c r="A61" t="s">
        <v>10</v>
      </c>
      <c r="B61" t="s">
        <v>30</v>
      </c>
      <c r="C61">
        <f t="shared" si="2"/>
        <v>6</v>
      </c>
      <c r="D61" s="14">
        <v>59.6</v>
      </c>
      <c r="E61">
        <f t="shared" si="2"/>
        <v>6</v>
      </c>
    </row>
    <row r="62" spans="1:5" x14ac:dyDescent="0.25">
      <c r="A62" t="s">
        <v>10</v>
      </c>
      <c r="B62" t="s">
        <v>30</v>
      </c>
      <c r="C62">
        <f t="shared" si="2"/>
        <v>7</v>
      </c>
      <c r="D62" s="14">
        <v>64</v>
      </c>
      <c r="E62">
        <f t="shared" si="2"/>
        <v>7</v>
      </c>
    </row>
    <row r="63" spans="1:5" x14ac:dyDescent="0.25">
      <c r="A63" t="s">
        <v>10</v>
      </c>
      <c r="B63" t="s">
        <v>30</v>
      </c>
      <c r="C63">
        <f t="shared" si="2"/>
        <v>8</v>
      </c>
      <c r="D63" s="14">
        <v>62.1</v>
      </c>
      <c r="E63">
        <f t="shared" si="2"/>
        <v>8</v>
      </c>
    </row>
    <row r="64" spans="1:5" x14ac:dyDescent="0.25">
      <c r="A64" t="s">
        <v>10</v>
      </c>
      <c r="B64" t="s">
        <v>30</v>
      </c>
      <c r="C64">
        <f t="shared" si="2"/>
        <v>9</v>
      </c>
      <c r="D64" s="14">
        <v>109.4</v>
      </c>
      <c r="E64">
        <f t="shared" si="2"/>
        <v>9</v>
      </c>
    </row>
    <row r="65" spans="1:5" x14ac:dyDescent="0.25">
      <c r="A65" t="s">
        <v>10</v>
      </c>
      <c r="B65" t="s">
        <v>30</v>
      </c>
      <c r="C65">
        <f t="shared" si="2"/>
        <v>10</v>
      </c>
      <c r="D65" s="14">
        <v>55.3</v>
      </c>
      <c r="E65">
        <f t="shared" si="2"/>
        <v>10</v>
      </c>
    </row>
    <row r="66" spans="1:5" x14ac:dyDescent="0.25">
      <c r="A66" t="s">
        <v>10</v>
      </c>
      <c r="B66" t="s">
        <v>30</v>
      </c>
      <c r="C66">
        <f t="shared" si="2"/>
        <v>11</v>
      </c>
      <c r="D66" s="14">
        <v>101.3</v>
      </c>
      <c r="E66">
        <f t="shared" si="2"/>
        <v>11</v>
      </c>
    </row>
    <row r="67" spans="1:5" x14ac:dyDescent="0.25">
      <c r="A67" t="s">
        <v>10</v>
      </c>
      <c r="B67" t="s">
        <v>30</v>
      </c>
      <c r="C67">
        <f t="shared" si="2"/>
        <v>12</v>
      </c>
      <c r="D67" s="14">
        <v>104.2</v>
      </c>
      <c r="E67">
        <f t="shared" si="2"/>
        <v>12</v>
      </c>
    </row>
    <row r="68" spans="1:5" x14ac:dyDescent="0.25">
      <c r="A68" t="s">
        <v>10</v>
      </c>
      <c r="B68" t="s">
        <v>30</v>
      </c>
      <c r="C68">
        <f t="shared" si="2"/>
        <v>13</v>
      </c>
      <c r="D68" s="14">
        <v>76.3</v>
      </c>
      <c r="E68">
        <f t="shared" si="2"/>
        <v>13</v>
      </c>
    </row>
    <row r="69" spans="1:5" x14ac:dyDescent="0.25">
      <c r="A69" t="s">
        <v>10</v>
      </c>
      <c r="B69" t="s">
        <v>30</v>
      </c>
      <c r="C69">
        <f t="shared" si="2"/>
        <v>14</v>
      </c>
      <c r="D69" s="14">
        <v>85</v>
      </c>
      <c r="E69">
        <f t="shared" si="2"/>
        <v>14</v>
      </c>
    </row>
    <row r="70" spans="1:5" x14ac:dyDescent="0.25">
      <c r="A70" t="s">
        <v>10</v>
      </c>
      <c r="B70" t="s">
        <v>30</v>
      </c>
      <c r="C70">
        <f t="shared" si="2"/>
        <v>15</v>
      </c>
      <c r="D70" s="14">
        <v>96.4</v>
      </c>
      <c r="E70">
        <f t="shared" si="2"/>
        <v>15</v>
      </c>
    </row>
    <row r="71" spans="1:5" x14ac:dyDescent="0.25">
      <c r="A71" t="s">
        <v>10</v>
      </c>
      <c r="B71" t="s">
        <v>30</v>
      </c>
      <c r="C71">
        <f t="shared" si="2"/>
        <v>16</v>
      </c>
      <c r="D71" s="14">
        <v>54.8</v>
      </c>
      <c r="E71">
        <f t="shared" si="2"/>
        <v>16</v>
      </c>
    </row>
    <row r="72" spans="1:5" x14ac:dyDescent="0.25">
      <c r="A72" t="s">
        <v>10</v>
      </c>
      <c r="B72" t="s">
        <v>30</v>
      </c>
      <c r="C72">
        <f t="shared" si="2"/>
        <v>17</v>
      </c>
      <c r="D72" s="14">
        <v>67</v>
      </c>
      <c r="E72">
        <f t="shared" si="2"/>
        <v>17</v>
      </c>
    </row>
    <row r="73" spans="1:5" x14ac:dyDescent="0.25">
      <c r="A73" t="s">
        <v>10</v>
      </c>
      <c r="B73" t="s">
        <v>30</v>
      </c>
      <c r="C73">
        <f t="shared" si="2"/>
        <v>18</v>
      </c>
      <c r="D73" s="14">
        <v>108</v>
      </c>
      <c r="E73">
        <f t="shared" si="2"/>
        <v>18</v>
      </c>
    </row>
    <row r="74" spans="1:5" x14ac:dyDescent="0.25">
      <c r="A74" t="s">
        <v>10</v>
      </c>
      <c r="B74" t="s">
        <v>30</v>
      </c>
      <c r="C74">
        <f t="shared" si="2"/>
        <v>19</v>
      </c>
      <c r="D74" s="14">
        <v>99.3</v>
      </c>
      <c r="E74">
        <f t="shared" si="2"/>
        <v>19</v>
      </c>
    </row>
    <row r="75" spans="1:5" x14ac:dyDescent="0.25">
      <c r="A75" t="s">
        <v>10</v>
      </c>
      <c r="B75" t="s">
        <v>30</v>
      </c>
      <c r="C75">
        <f t="shared" si="2"/>
        <v>20</v>
      </c>
      <c r="D75" s="14">
        <v>112.9</v>
      </c>
      <c r="E75">
        <f t="shared" si="2"/>
        <v>20</v>
      </c>
    </row>
    <row r="76" spans="1:5" x14ac:dyDescent="0.25">
      <c r="A76" t="s">
        <v>10</v>
      </c>
      <c r="B76" t="s">
        <v>30</v>
      </c>
      <c r="C76">
        <f t="shared" si="2"/>
        <v>21</v>
      </c>
      <c r="D76" s="14">
        <v>85.5</v>
      </c>
      <c r="E76">
        <f t="shared" si="2"/>
        <v>21</v>
      </c>
    </row>
    <row r="77" spans="1:5" x14ac:dyDescent="0.25">
      <c r="A77" t="s">
        <v>10</v>
      </c>
      <c r="B77" t="s">
        <v>30</v>
      </c>
      <c r="C77">
        <f t="shared" si="2"/>
        <v>22</v>
      </c>
      <c r="D77" s="14">
        <v>65.2</v>
      </c>
      <c r="E77">
        <f t="shared" si="2"/>
        <v>22</v>
      </c>
    </row>
    <row r="78" spans="1:5" x14ac:dyDescent="0.25">
      <c r="A78" t="s">
        <v>10</v>
      </c>
      <c r="B78" t="s">
        <v>30</v>
      </c>
      <c r="C78">
        <f t="shared" si="2"/>
        <v>23</v>
      </c>
      <c r="D78" s="14">
        <v>95.1</v>
      </c>
      <c r="E78">
        <f t="shared" si="2"/>
        <v>23</v>
      </c>
    </row>
    <row r="79" spans="1:5" x14ac:dyDescent="0.25">
      <c r="A79" t="s">
        <v>10</v>
      </c>
      <c r="B79" t="s">
        <v>30</v>
      </c>
      <c r="C79">
        <f t="shared" si="2"/>
        <v>24</v>
      </c>
      <c r="D79" s="14">
        <v>69.7</v>
      </c>
      <c r="E79">
        <f t="shared" si="2"/>
        <v>24</v>
      </c>
    </row>
    <row r="80" spans="1:5" x14ac:dyDescent="0.25">
      <c r="A80" t="s">
        <v>10</v>
      </c>
      <c r="B80" t="s">
        <v>30</v>
      </c>
      <c r="C80">
        <f t="shared" si="2"/>
        <v>25</v>
      </c>
      <c r="D80" s="14">
        <v>76</v>
      </c>
      <c r="E80">
        <f t="shared" si="2"/>
        <v>25</v>
      </c>
    </row>
    <row r="81" spans="1:5" x14ac:dyDescent="0.25">
      <c r="A81" t="s">
        <v>10</v>
      </c>
      <c r="B81" t="s">
        <v>30</v>
      </c>
      <c r="C81">
        <f t="shared" si="2"/>
        <v>26</v>
      </c>
      <c r="D81" s="14">
        <v>51.7</v>
      </c>
      <c r="E81">
        <f t="shared" si="2"/>
        <v>26</v>
      </c>
    </row>
    <row r="82" spans="1:5" x14ac:dyDescent="0.25">
      <c r="A82" t="s">
        <v>10</v>
      </c>
      <c r="B82" t="s">
        <v>30</v>
      </c>
      <c r="C82">
        <f t="shared" si="2"/>
        <v>27</v>
      </c>
      <c r="D82" s="14">
        <v>62.2</v>
      </c>
      <c r="E82">
        <f t="shared" si="2"/>
        <v>27</v>
      </c>
    </row>
    <row r="83" spans="1:5" x14ac:dyDescent="0.25">
      <c r="A83" t="s">
        <v>10</v>
      </c>
      <c r="B83" t="s">
        <v>30</v>
      </c>
      <c r="C83">
        <f t="shared" si="2"/>
        <v>28</v>
      </c>
      <c r="D83" s="14">
        <v>64.7</v>
      </c>
      <c r="E83">
        <f t="shared" si="2"/>
        <v>28</v>
      </c>
    </row>
    <row r="84" spans="1:5" x14ac:dyDescent="0.25">
      <c r="A84" t="s">
        <v>10</v>
      </c>
      <c r="B84" t="s">
        <v>30</v>
      </c>
      <c r="C84">
        <f t="shared" si="2"/>
        <v>29</v>
      </c>
      <c r="D84" s="14">
        <v>65.900000000000006</v>
      </c>
      <c r="E84">
        <f t="shared" si="2"/>
        <v>29</v>
      </c>
    </row>
    <row r="85" spans="1:5" x14ac:dyDescent="0.25">
      <c r="A85" t="s">
        <v>10</v>
      </c>
      <c r="B85" t="s">
        <v>30</v>
      </c>
      <c r="C85">
        <f t="shared" si="2"/>
        <v>30</v>
      </c>
      <c r="D85" s="14">
        <v>86.9</v>
      </c>
      <c r="E85">
        <f t="shared" si="2"/>
        <v>30</v>
      </c>
    </row>
    <row r="86" spans="1:5" x14ac:dyDescent="0.25">
      <c r="A86" t="s">
        <v>10</v>
      </c>
      <c r="B86" t="s">
        <v>30</v>
      </c>
      <c r="C86">
        <f t="shared" si="2"/>
        <v>31</v>
      </c>
      <c r="D86" s="14">
        <v>59.1</v>
      </c>
      <c r="E86">
        <f t="shared" si="2"/>
        <v>31</v>
      </c>
    </row>
    <row r="87" spans="1:5" x14ac:dyDescent="0.25">
      <c r="A87" t="s">
        <v>10</v>
      </c>
      <c r="B87" t="s">
        <v>30</v>
      </c>
      <c r="C87">
        <f t="shared" si="2"/>
        <v>32</v>
      </c>
      <c r="D87" s="14">
        <v>56.7</v>
      </c>
      <c r="E87">
        <f t="shared" si="2"/>
        <v>32</v>
      </c>
    </row>
    <row r="88" spans="1:5" x14ac:dyDescent="0.25">
      <c r="A88" t="s">
        <v>10</v>
      </c>
      <c r="B88" t="s">
        <v>30</v>
      </c>
      <c r="C88">
        <f>SUM(C87+1)</f>
        <v>33</v>
      </c>
      <c r="D88" s="14">
        <v>80.8</v>
      </c>
      <c r="E88">
        <f>SUM(E87+1)</f>
        <v>33</v>
      </c>
    </row>
    <row r="89" spans="1:5" x14ac:dyDescent="0.25">
      <c r="A89" t="s">
        <v>10</v>
      </c>
      <c r="B89" t="s">
        <v>30</v>
      </c>
      <c r="C89" s="13" t="s">
        <v>181</v>
      </c>
      <c r="D89" s="14">
        <v>148.69999999999999</v>
      </c>
      <c r="E89" s="13" t="s">
        <v>181</v>
      </c>
    </row>
    <row r="90" spans="1:5" x14ac:dyDescent="0.25">
      <c r="A90" t="s">
        <v>11</v>
      </c>
      <c r="B90" t="s">
        <v>194</v>
      </c>
      <c r="C90">
        <v>1</v>
      </c>
      <c r="D90" s="15">
        <v>139.88</v>
      </c>
      <c r="E90">
        <v>1</v>
      </c>
    </row>
    <row r="91" spans="1:5" x14ac:dyDescent="0.25">
      <c r="A91" t="s">
        <v>11</v>
      </c>
      <c r="B91" t="s">
        <v>194</v>
      </c>
      <c r="C91" t="s">
        <v>182</v>
      </c>
      <c r="D91" s="15">
        <v>93.58</v>
      </c>
      <c r="E91" t="s">
        <v>182</v>
      </c>
    </row>
    <row r="92" spans="1:5" x14ac:dyDescent="0.25">
      <c r="A92" t="s">
        <v>11</v>
      </c>
      <c r="B92" t="s">
        <v>194</v>
      </c>
      <c r="C92">
        <v>2</v>
      </c>
      <c r="D92" s="15">
        <v>139.69</v>
      </c>
      <c r="E92">
        <v>2</v>
      </c>
    </row>
    <row r="93" spans="1:5" x14ac:dyDescent="0.25">
      <c r="A93" t="s">
        <v>11</v>
      </c>
      <c r="B93" t="s">
        <v>194</v>
      </c>
      <c r="C93">
        <v>3</v>
      </c>
      <c r="D93" s="15">
        <v>114.87</v>
      </c>
      <c r="E93">
        <v>3</v>
      </c>
    </row>
    <row r="94" spans="1:5" x14ac:dyDescent="0.25">
      <c r="A94" t="s">
        <v>11</v>
      </c>
      <c r="B94" t="s">
        <v>194</v>
      </c>
      <c r="C94">
        <v>4</v>
      </c>
      <c r="D94" s="15">
        <v>97.65</v>
      </c>
      <c r="E94">
        <v>4</v>
      </c>
    </row>
    <row r="95" spans="1:5" x14ac:dyDescent="0.25">
      <c r="A95" t="s">
        <v>11</v>
      </c>
      <c r="B95" t="s">
        <v>194</v>
      </c>
      <c r="C95" t="s">
        <v>183</v>
      </c>
      <c r="D95" s="15">
        <v>59.38</v>
      </c>
      <c r="E95" t="s">
        <v>183</v>
      </c>
    </row>
    <row r="96" spans="1:5" x14ac:dyDescent="0.25">
      <c r="A96" t="s">
        <v>11</v>
      </c>
      <c r="B96" t="s">
        <v>194</v>
      </c>
      <c r="C96">
        <v>5</v>
      </c>
      <c r="D96" s="15">
        <v>98.57</v>
      </c>
      <c r="E96">
        <v>5</v>
      </c>
    </row>
    <row r="97" spans="1:5" x14ac:dyDescent="0.25">
      <c r="A97" t="s">
        <v>11</v>
      </c>
      <c r="B97" t="s">
        <v>194</v>
      </c>
      <c r="C97">
        <v>6</v>
      </c>
      <c r="D97" s="15">
        <v>78.02</v>
      </c>
      <c r="E97">
        <v>6</v>
      </c>
    </row>
    <row r="98" spans="1:5" x14ac:dyDescent="0.25">
      <c r="A98" t="s">
        <v>11</v>
      </c>
      <c r="B98" t="s">
        <v>194</v>
      </c>
      <c r="C98">
        <v>7</v>
      </c>
      <c r="D98" s="15">
        <v>72.64</v>
      </c>
      <c r="E98">
        <v>7</v>
      </c>
    </row>
    <row r="99" spans="1:5" x14ac:dyDescent="0.25">
      <c r="A99" t="s">
        <v>11</v>
      </c>
      <c r="B99" t="s">
        <v>194</v>
      </c>
      <c r="C99">
        <v>8</v>
      </c>
      <c r="D99" s="15">
        <v>53.83</v>
      </c>
      <c r="E99">
        <v>8</v>
      </c>
    </row>
    <row r="100" spans="1:5" x14ac:dyDescent="0.25">
      <c r="A100" t="s">
        <v>11</v>
      </c>
      <c r="B100" t="s">
        <v>194</v>
      </c>
      <c r="C100">
        <v>9</v>
      </c>
      <c r="D100" s="15">
        <v>54.2</v>
      </c>
      <c r="E100">
        <v>9</v>
      </c>
    </row>
    <row r="101" spans="1:5" x14ac:dyDescent="0.25">
      <c r="A101" t="s">
        <v>11</v>
      </c>
      <c r="B101" t="s">
        <v>194</v>
      </c>
      <c r="C101">
        <v>10</v>
      </c>
      <c r="D101" s="15">
        <v>50.47</v>
      </c>
      <c r="E101">
        <v>10</v>
      </c>
    </row>
    <row r="102" spans="1:5" x14ac:dyDescent="0.25">
      <c r="A102" t="s">
        <v>11</v>
      </c>
      <c r="B102" t="s">
        <v>194</v>
      </c>
      <c r="C102">
        <v>11</v>
      </c>
      <c r="D102" s="15">
        <v>58.23</v>
      </c>
      <c r="E102">
        <v>11</v>
      </c>
    </row>
    <row r="103" spans="1:5" x14ac:dyDescent="0.25">
      <c r="A103" t="s">
        <v>11</v>
      </c>
      <c r="B103" t="s">
        <v>194</v>
      </c>
      <c r="C103">
        <v>12</v>
      </c>
      <c r="D103" s="15">
        <v>51.92</v>
      </c>
      <c r="E103">
        <v>12</v>
      </c>
    </row>
    <row r="104" spans="1:5" x14ac:dyDescent="0.25">
      <c r="A104" t="s">
        <v>11</v>
      </c>
      <c r="B104" t="s">
        <v>194</v>
      </c>
      <c r="C104">
        <v>13</v>
      </c>
      <c r="D104" s="15">
        <v>40.950000000000003</v>
      </c>
      <c r="E104">
        <v>13</v>
      </c>
    </row>
    <row r="105" spans="1:5" x14ac:dyDescent="0.25">
      <c r="A105" t="s">
        <v>11</v>
      </c>
      <c r="B105" t="s">
        <v>194</v>
      </c>
      <c r="C105">
        <v>14</v>
      </c>
      <c r="D105" s="15">
        <v>49.2</v>
      </c>
      <c r="E105">
        <v>14</v>
      </c>
    </row>
    <row r="106" spans="1:5" x14ac:dyDescent="0.25">
      <c r="A106" t="s">
        <v>11</v>
      </c>
      <c r="B106" t="s">
        <v>194</v>
      </c>
      <c r="C106">
        <v>15</v>
      </c>
      <c r="D106" s="15">
        <v>49.15</v>
      </c>
      <c r="E106">
        <v>15</v>
      </c>
    </row>
    <row r="107" spans="1:5" x14ac:dyDescent="0.25">
      <c r="A107" t="s">
        <v>11</v>
      </c>
      <c r="B107" t="s">
        <v>194</v>
      </c>
      <c r="C107">
        <v>17</v>
      </c>
      <c r="D107" s="15">
        <v>45.36</v>
      </c>
      <c r="E107">
        <v>17</v>
      </c>
    </row>
    <row r="108" spans="1:5" x14ac:dyDescent="0.25">
      <c r="A108" t="s">
        <v>11</v>
      </c>
      <c r="B108" t="s">
        <v>194</v>
      </c>
      <c r="C108">
        <v>18</v>
      </c>
      <c r="D108" s="15">
        <v>49.91</v>
      </c>
      <c r="E108">
        <v>18</v>
      </c>
    </row>
    <row r="109" spans="1:5" x14ac:dyDescent="0.25">
      <c r="A109" t="s">
        <v>11</v>
      </c>
      <c r="B109" t="s">
        <v>194</v>
      </c>
      <c r="C109">
        <v>19</v>
      </c>
      <c r="D109" s="15">
        <v>49.43</v>
      </c>
      <c r="E109">
        <v>19</v>
      </c>
    </row>
    <row r="110" spans="1:5" x14ac:dyDescent="0.25">
      <c r="A110" t="s">
        <v>11</v>
      </c>
      <c r="B110" t="s">
        <v>194</v>
      </c>
      <c r="C110">
        <v>20</v>
      </c>
      <c r="D110" s="15">
        <v>49.44</v>
      </c>
      <c r="E110">
        <v>20</v>
      </c>
    </row>
    <row r="111" spans="1:5" x14ac:dyDescent="0.25">
      <c r="A111" t="s">
        <v>11</v>
      </c>
      <c r="B111" t="s">
        <v>194</v>
      </c>
      <c r="C111">
        <v>21</v>
      </c>
      <c r="D111" s="15">
        <v>46.76</v>
      </c>
      <c r="E111">
        <v>21</v>
      </c>
    </row>
    <row r="112" spans="1:5" x14ac:dyDescent="0.25">
      <c r="A112" t="s">
        <v>11</v>
      </c>
      <c r="B112" t="s">
        <v>194</v>
      </c>
      <c r="C112">
        <v>22</v>
      </c>
      <c r="D112" s="15">
        <v>57.69</v>
      </c>
      <c r="E112">
        <v>22</v>
      </c>
    </row>
    <row r="113" spans="1:5" x14ac:dyDescent="0.25">
      <c r="A113" t="s">
        <v>11</v>
      </c>
      <c r="B113" t="s">
        <v>194</v>
      </c>
      <c r="C113">
        <v>23</v>
      </c>
      <c r="D113" s="15">
        <v>51.43</v>
      </c>
      <c r="E113">
        <v>23</v>
      </c>
    </row>
    <row r="114" spans="1:5" x14ac:dyDescent="0.25">
      <c r="A114" t="s">
        <v>11</v>
      </c>
      <c r="B114" t="s">
        <v>194</v>
      </c>
      <c r="C114">
        <v>24</v>
      </c>
      <c r="D114" s="15">
        <v>49.51</v>
      </c>
      <c r="E114">
        <v>24</v>
      </c>
    </row>
    <row r="115" spans="1:5" x14ac:dyDescent="0.25">
      <c r="A115" t="s">
        <v>11</v>
      </c>
      <c r="B115" t="s">
        <v>194</v>
      </c>
      <c r="C115" t="s">
        <v>184</v>
      </c>
      <c r="D115" s="15">
        <v>4.43</v>
      </c>
      <c r="E115" t="s">
        <v>207</v>
      </c>
    </row>
    <row r="116" spans="1:5" x14ac:dyDescent="0.25">
      <c r="A116" t="s">
        <v>11</v>
      </c>
      <c r="B116" t="s">
        <v>194</v>
      </c>
      <c r="C116" t="s">
        <v>185</v>
      </c>
      <c r="D116" s="15">
        <v>3.68</v>
      </c>
      <c r="E116" t="s">
        <v>208</v>
      </c>
    </row>
    <row r="117" spans="1:5" x14ac:dyDescent="0.25">
      <c r="A117" t="s">
        <v>11</v>
      </c>
      <c r="B117" t="s">
        <v>194</v>
      </c>
      <c r="C117">
        <v>26</v>
      </c>
      <c r="D117" s="15">
        <v>53.45</v>
      </c>
      <c r="E117">
        <v>26</v>
      </c>
    </row>
    <row r="118" spans="1:5" x14ac:dyDescent="0.25">
      <c r="A118" t="s">
        <v>11</v>
      </c>
      <c r="B118" t="s">
        <v>194</v>
      </c>
      <c r="C118">
        <v>27</v>
      </c>
      <c r="D118" s="15">
        <v>49.15</v>
      </c>
      <c r="E118">
        <v>27</v>
      </c>
    </row>
    <row r="119" spans="1:5" x14ac:dyDescent="0.25">
      <c r="A119" t="s">
        <v>11</v>
      </c>
      <c r="B119" t="s">
        <v>194</v>
      </c>
      <c r="C119">
        <v>28</v>
      </c>
      <c r="D119" s="15">
        <v>48.7</v>
      </c>
      <c r="E119">
        <v>28</v>
      </c>
    </row>
    <row r="120" spans="1:5" x14ac:dyDescent="0.25">
      <c r="A120" t="s">
        <v>11</v>
      </c>
      <c r="B120" t="s">
        <v>194</v>
      </c>
      <c r="C120" t="s">
        <v>186</v>
      </c>
      <c r="D120" s="15">
        <v>51.21</v>
      </c>
      <c r="E120" t="s">
        <v>186</v>
      </c>
    </row>
    <row r="121" spans="1:5" x14ac:dyDescent="0.25">
      <c r="A121" t="s">
        <v>11</v>
      </c>
      <c r="B121" t="s">
        <v>194</v>
      </c>
      <c r="C121" t="s">
        <v>187</v>
      </c>
      <c r="D121" s="15">
        <v>4.4400000000000004</v>
      </c>
      <c r="E121" t="s">
        <v>187</v>
      </c>
    </row>
    <row r="122" spans="1:5" x14ac:dyDescent="0.25">
      <c r="A122" t="s">
        <v>12</v>
      </c>
      <c r="B122" t="s">
        <v>195</v>
      </c>
      <c r="C122">
        <v>1</v>
      </c>
      <c r="D122" s="15">
        <v>138.15</v>
      </c>
      <c r="E122">
        <v>1</v>
      </c>
    </row>
    <row r="123" spans="1:5" x14ac:dyDescent="0.25">
      <c r="A123" t="s">
        <v>12</v>
      </c>
      <c r="B123" t="s">
        <v>195</v>
      </c>
      <c r="C123" t="s">
        <v>182</v>
      </c>
      <c r="D123" s="15">
        <v>112.82</v>
      </c>
      <c r="E123" t="s">
        <v>182</v>
      </c>
    </row>
    <row r="124" spans="1:5" x14ac:dyDescent="0.25">
      <c r="A124" t="s">
        <v>12</v>
      </c>
      <c r="B124" t="s">
        <v>195</v>
      </c>
      <c r="C124">
        <v>2</v>
      </c>
      <c r="D124" s="15">
        <v>127.41</v>
      </c>
      <c r="E124">
        <v>2</v>
      </c>
    </row>
    <row r="125" spans="1:5" x14ac:dyDescent="0.25">
      <c r="A125" t="s">
        <v>12</v>
      </c>
      <c r="B125" t="s">
        <v>195</v>
      </c>
      <c r="C125">
        <v>3</v>
      </c>
      <c r="D125" s="15">
        <v>107.05</v>
      </c>
      <c r="E125">
        <v>3</v>
      </c>
    </row>
    <row r="126" spans="1:5" x14ac:dyDescent="0.25">
      <c r="A126" t="s">
        <v>12</v>
      </c>
      <c r="B126" t="s">
        <v>195</v>
      </c>
      <c r="C126">
        <v>4</v>
      </c>
      <c r="D126" s="15">
        <v>97.33</v>
      </c>
      <c r="E126">
        <v>4</v>
      </c>
    </row>
    <row r="127" spans="1:5" x14ac:dyDescent="0.25">
      <c r="A127" t="s">
        <v>12</v>
      </c>
      <c r="B127" t="s">
        <v>195</v>
      </c>
      <c r="C127" t="s">
        <v>183</v>
      </c>
      <c r="D127" s="15">
        <v>65.52</v>
      </c>
      <c r="E127" t="s">
        <v>183</v>
      </c>
    </row>
    <row r="128" spans="1:5" x14ac:dyDescent="0.25">
      <c r="A128" t="s">
        <v>12</v>
      </c>
      <c r="B128" t="s">
        <v>195</v>
      </c>
      <c r="C128">
        <v>5</v>
      </c>
      <c r="D128" s="15">
        <v>101.05</v>
      </c>
      <c r="E128">
        <v>5</v>
      </c>
    </row>
    <row r="129" spans="1:5" x14ac:dyDescent="0.25">
      <c r="A129" t="s">
        <v>12</v>
      </c>
      <c r="B129" t="s">
        <v>195</v>
      </c>
      <c r="C129">
        <v>6</v>
      </c>
      <c r="D129" s="15">
        <v>78.069999999999993</v>
      </c>
      <c r="E129">
        <v>6</v>
      </c>
    </row>
    <row r="130" spans="1:5" x14ac:dyDescent="0.25">
      <c r="A130" t="s">
        <v>12</v>
      </c>
      <c r="B130" t="s">
        <v>195</v>
      </c>
      <c r="C130">
        <v>7</v>
      </c>
      <c r="D130" s="15">
        <v>83.67</v>
      </c>
      <c r="E130">
        <v>7</v>
      </c>
    </row>
    <row r="131" spans="1:5" x14ac:dyDescent="0.25">
      <c r="A131" t="s">
        <v>12</v>
      </c>
      <c r="B131" t="s">
        <v>195</v>
      </c>
      <c r="C131">
        <v>8</v>
      </c>
      <c r="D131" s="15">
        <v>49.74</v>
      </c>
      <c r="E131">
        <v>8</v>
      </c>
    </row>
    <row r="132" spans="1:5" x14ac:dyDescent="0.25">
      <c r="A132" t="s">
        <v>12</v>
      </c>
      <c r="B132" t="s">
        <v>195</v>
      </c>
      <c r="C132">
        <v>9</v>
      </c>
      <c r="D132" s="15">
        <v>56.57</v>
      </c>
      <c r="E132">
        <v>9</v>
      </c>
    </row>
    <row r="133" spans="1:5" x14ac:dyDescent="0.25">
      <c r="A133" t="s">
        <v>12</v>
      </c>
      <c r="B133" t="s">
        <v>195</v>
      </c>
      <c r="C133">
        <v>10</v>
      </c>
      <c r="D133" s="15">
        <v>56.67</v>
      </c>
      <c r="E133">
        <v>10</v>
      </c>
    </row>
    <row r="134" spans="1:5" x14ac:dyDescent="0.25">
      <c r="A134" t="s">
        <v>12</v>
      </c>
      <c r="B134" t="s">
        <v>195</v>
      </c>
      <c r="C134">
        <v>11</v>
      </c>
      <c r="D134" s="15">
        <v>58.49</v>
      </c>
      <c r="E134">
        <v>11</v>
      </c>
    </row>
    <row r="135" spans="1:5" x14ac:dyDescent="0.25">
      <c r="A135" t="s">
        <v>12</v>
      </c>
      <c r="B135" t="s">
        <v>195</v>
      </c>
      <c r="C135">
        <v>12</v>
      </c>
      <c r="D135" s="15">
        <v>55.42</v>
      </c>
      <c r="E135">
        <v>12</v>
      </c>
    </row>
    <row r="136" spans="1:5" x14ac:dyDescent="0.25">
      <c r="A136" t="s">
        <v>12</v>
      </c>
      <c r="B136" t="s">
        <v>195</v>
      </c>
      <c r="C136">
        <v>13</v>
      </c>
      <c r="D136" s="15">
        <v>54.17</v>
      </c>
      <c r="E136">
        <v>13</v>
      </c>
    </row>
    <row r="137" spans="1:5" x14ac:dyDescent="0.25">
      <c r="A137" t="s">
        <v>12</v>
      </c>
      <c r="B137" t="s">
        <v>195</v>
      </c>
      <c r="C137">
        <v>14</v>
      </c>
      <c r="D137" s="15">
        <v>51.65</v>
      </c>
      <c r="E137">
        <v>14</v>
      </c>
    </row>
    <row r="138" spans="1:5" x14ac:dyDescent="0.25">
      <c r="A138" t="s">
        <v>12</v>
      </c>
      <c r="B138" t="s">
        <v>195</v>
      </c>
      <c r="C138">
        <v>15</v>
      </c>
      <c r="D138" s="15">
        <v>48.93</v>
      </c>
      <c r="E138">
        <v>15</v>
      </c>
    </row>
    <row r="139" spans="1:5" x14ac:dyDescent="0.25">
      <c r="A139" t="s">
        <v>12</v>
      </c>
      <c r="B139" t="s">
        <v>195</v>
      </c>
      <c r="C139">
        <v>17</v>
      </c>
      <c r="D139" s="15">
        <v>50.05</v>
      </c>
      <c r="E139">
        <v>17</v>
      </c>
    </row>
    <row r="140" spans="1:5" x14ac:dyDescent="0.25">
      <c r="A140" t="s">
        <v>12</v>
      </c>
      <c r="B140" t="s">
        <v>195</v>
      </c>
      <c r="C140">
        <v>18</v>
      </c>
      <c r="D140" s="15">
        <v>51.02</v>
      </c>
      <c r="E140">
        <v>18</v>
      </c>
    </row>
    <row r="141" spans="1:5" x14ac:dyDescent="0.25">
      <c r="A141" t="s">
        <v>12</v>
      </c>
      <c r="B141" t="s">
        <v>195</v>
      </c>
      <c r="C141">
        <v>19</v>
      </c>
      <c r="D141" s="15">
        <v>51.52</v>
      </c>
      <c r="E141">
        <v>19</v>
      </c>
    </row>
    <row r="142" spans="1:5" x14ac:dyDescent="0.25">
      <c r="A142" t="s">
        <v>12</v>
      </c>
      <c r="B142" t="s">
        <v>195</v>
      </c>
      <c r="C142">
        <v>20</v>
      </c>
      <c r="D142" s="15">
        <v>50.94</v>
      </c>
      <c r="E142">
        <v>20</v>
      </c>
    </row>
    <row r="143" spans="1:5" x14ac:dyDescent="0.25">
      <c r="A143" t="s">
        <v>12</v>
      </c>
      <c r="B143" t="s">
        <v>195</v>
      </c>
      <c r="C143">
        <v>21</v>
      </c>
      <c r="D143" s="15">
        <v>53.08</v>
      </c>
      <c r="E143">
        <v>21</v>
      </c>
    </row>
    <row r="144" spans="1:5" x14ac:dyDescent="0.25">
      <c r="A144" t="s">
        <v>12</v>
      </c>
      <c r="B144" t="s">
        <v>195</v>
      </c>
      <c r="C144">
        <v>22</v>
      </c>
      <c r="D144" s="15">
        <v>55.75</v>
      </c>
      <c r="E144">
        <v>22</v>
      </c>
    </row>
    <row r="145" spans="1:7" x14ac:dyDescent="0.25">
      <c r="A145" t="s">
        <v>12</v>
      </c>
      <c r="B145" t="s">
        <v>195</v>
      </c>
      <c r="C145">
        <v>23</v>
      </c>
      <c r="D145" s="15">
        <v>40.33</v>
      </c>
      <c r="E145">
        <v>23</v>
      </c>
    </row>
    <row r="146" spans="1:7" x14ac:dyDescent="0.25">
      <c r="A146" t="s">
        <v>12</v>
      </c>
      <c r="B146" t="s">
        <v>195</v>
      </c>
      <c r="C146">
        <v>24</v>
      </c>
      <c r="D146" s="15">
        <v>52.33</v>
      </c>
      <c r="E146">
        <v>24</v>
      </c>
    </row>
    <row r="147" spans="1:7" x14ac:dyDescent="0.25">
      <c r="A147" t="s">
        <v>12</v>
      </c>
      <c r="B147" t="s">
        <v>195</v>
      </c>
      <c r="C147" t="s">
        <v>184</v>
      </c>
      <c r="D147" s="15">
        <v>4.58</v>
      </c>
      <c r="E147" t="s">
        <v>207</v>
      </c>
    </row>
    <row r="148" spans="1:7" x14ac:dyDescent="0.25">
      <c r="A148" t="s">
        <v>12</v>
      </c>
      <c r="B148" t="s">
        <v>195</v>
      </c>
      <c r="C148" t="s">
        <v>185</v>
      </c>
      <c r="D148" s="15">
        <v>5.76</v>
      </c>
      <c r="E148" t="s">
        <v>208</v>
      </c>
    </row>
    <row r="149" spans="1:7" x14ac:dyDescent="0.25">
      <c r="A149" t="s">
        <v>12</v>
      </c>
      <c r="B149" t="s">
        <v>195</v>
      </c>
      <c r="C149">
        <v>26</v>
      </c>
      <c r="D149" s="15">
        <v>54.91</v>
      </c>
      <c r="E149">
        <v>26</v>
      </c>
    </row>
    <row r="150" spans="1:7" x14ac:dyDescent="0.25">
      <c r="A150" t="s">
        <v>12</v>
      </c>
      <c r="B150" t="s">
        <v>195</v>
      </c>
      <c r="C150">
        <v>27</v>
      </c>
      <c r="D150" s="15">
        <v>54.32</v>
      </c>
      <c r="E150">
        <v>27</v>
      </c>
    </row>
    <row r="151" spans="1:7" x14ac:dyDescent="0.25">
      <c r="A151" t="s">
        <v>12</v>
      </c>
      <c r="B151" t="s">
        <v>195</v>
      </c>
      <c r="C151">
        <v>28</v>
      </c>
      <c r="D151" s="15">
        <v>52.43</v>
      </c>
      <c r="E151">
        <v>28</v>
      </c>
    </row>
    <row r="152" spans="1:7" x14ac:dyDescent="0.25">
      <c r="A152" t="s">
        <v>12</v>
      </c>
      <c r="B152" t="s">
        <v>195</v>
      </c>
      <c r="C152" t="s">
        <v>186</v>
      </c>
      <c r="D152" s="15">
        <v>55.53</v>
      </c>
      <c r="E152" t="s">
        <v>186</v>
      </c>
    </row>
    <row r="153" spans="1:7" x14ac:dyDescent="0.25">
      <c r="A153" t="s">
        <v>12</v>
      </c>
      <c r="B153" t="s">
        <v>195</v>
      </c>
      <c r="C153" t="s">
        <v>187</v>
      </c>
      <c r="D153" s="15">
        <v>34.590000000000003</v>
      </c>
      <c r="E153" t="s">
        <v>187</v>
      </c>
    </row>
    <row r="154" spans="1:7" ht="15.75" x14ac:dyDescent="0.25">
      <c r="A154" t="s">
        <v>14</v>
      </c>
      <c r="B154" t="s">
        <v>166</v>
      </c>
      <c r="C154">
        <v>1</v>
      </c>
      <c r="D154" s="16">
        <v>246.2</v>
      </c>
      <c r="E154">
        <v>1</v>
      </c>
      <c r="G154" s="17"/>
    </row>
    <row r="155" spans="1:7" ht="15.75" x14ac:dyDescent="0.25">
      <c r="A155" t="s">
        <v>14</v>
      </c>
      <c r="B155" t="s">
        <v>166</v>
      </c>
      <c r="C155" t="s">
        <v>182</v>
      </c>
      <c r="D155" s="16">
        <v>206.1</v>
      </c>
      <c r="E155" t="s">
        <v>182</v>
      </c>
      <c r="G155" s="17"/>
    </row>
    <row r="156" spans="1:7" ht="15.75" x14ac:dyDescent="0.25">
      <c r="A156" t="s">
        <v>14</v>
      </c>
      <c r="B156" t="s">
        <v>166</v>
      </c>
      <c r="C156">
        <v>2</v>
      </c>
      <c r="D156" s="16">
        <v>316.10000000000002</v>
      </c>
      <c r="E156">
        <v>2</v>
      </c>
      <c r="G156" s="17"/>
    </row>
    <row r="157" spans="1:7" ht="15.75" x14ac:dyDescent="0.25">
      <c r="A157" t="s">
        <v>14</v>
      </c>
      <c r="B157" t="s">
        <v>166</v>
      </c>
      <c r="C157">
        <v>3</v>
      </c>
      <c r="D157" s="16">
        <v>225.9</v>
      </c>
      <c r="E157">
        <v>3</v>
      </c>
      <c r="G157" s="17"/>
    </row>
    <row r="158" spans="1:7" ht="15.75" x14ac:dyDescent="0.25">
      <c r="A158" t="s">
        <v>14</v>
      </c>
      <c r="B158" t="s">
        <v>166</v>
      </c>
      <c r="C158">
        <v>4</v>
      </c>
      <c r="D158" s="16">
        <v>167.2</v>
      </c>
      <c r="E158">
        <v>4</v>
      </c>
      <c r="G158" s="17"/>
    </row>
    <row r="159" spans="1:7" ht="15.75" x14ac:dyDescent="0.25">
      <c r="A159" t="s">
        <v>14</v>
      </c>
      <c r="B159" t="s">
        <v>166</v>
      </c>
      <c r="C159" t="s">
        <v>183</v>
      </c>
      <c r="D159" s="16">
        <v>80.3</v>
      </c>
      <c r="E159" t="s">
        <v>183</v>
      </c>
      <c r="G159" s="17"/>
    </row>
    <row r="160" spans="1:7" ht="15.75" x14ac:dyDescent="0.25">
      <c r="A160" t="s">
        <v>14</v>
      </c>
      <c r="B160" t="s">
        <v>166</v>
      </c>
      <c r="C160">
        <v>5</v>
      </c>
      <c r="D160" s="16">
        <v>170.4</v>
      </c>
      <c r="E160">
        <v>5</v>
      </c>
      <c r="G160" s="17"/>
    </row>
    <row r="161" spans="1:7" ht="15.75" x14ac:dyDescent="0.25">
      <c r="A161" t="s">
        <v>14</v>
      </c>
      <c r="B161" t="s">
        <v>166</v>
      </c>
      <c r="C161">
        <v>6</v>
      </c>
      <c r="D161" s="16">
        <v>121.3</v>
      </c>
      <c r="E161">
        <v>6</v>
      </c>
      <c r="G161" s="17"/>
    </row>
    <row r="162" spans="1:7" ht="15.75" x14ac:dyDescent="0.25">
      <c r="A162" t="s">
        <v>14</v>
      </c>
      <c r="B162" t="s">
        <v>166</v>
      </c>
      <c r="C162">
        <v>7</v>
      </c>
      <c r="D162" s="16">
        <v>122.5</v>
      </c>
      <c r="E162">
        <v>7</v>
      </c>
      <c r="G162" s="17"/>
    </row>
    <row r="163" spans="1:7" ht="15.75" x14ac:dyDescent="0.25">
      <c r="A163" t="s">
        <v>14</v>
      </c>
      <c r="B163" t="s">
        <v>166</v>
      </c>
      <c r="C163">
        <v>8</v>
      </c>
      <c r="D163" s="16">
        <v>96</v>
      </c>
      <c r="E163">
        <v>8</v>
      </c>
      <c r="G163" s="17"/>
    </row>
    <row r="164" spans="1:7" ht="15.75" x14ac:dyDescent="0.25">
      <c r="A164" t="s">
        <v>14</v>
      </c>
      <c r="B164" t="s">
        <v>166</v>
      </c>
      <c r="C164">
        <v>9</v>
      </c>
      <c r="D164" s="16">
        <v>96.6</v>
      </c>
      <c r="E164">
        <v>9</v>
      </c>
      <c r="G164" s="17"/>
    </row>
    <row r="165" spans="1:7" ht="15.75" x14ac:dyDescent="0.25">
      <c r="A165" t="s">
        <v>14</v>
      </c>
      <c r="B165" t="s">
        <v>166</v>
      </c>
      <c r="C165">
        <v>10</v>
      </c>
      <c r="D165" s="16">
        <v>94</v>
      </c>
      <c r="E165">
        <v>10</v>
      </c>
      <c r="G165" s="17"/>
    </row>
    <row r="166" spans="1:7" ht="15.75" x14ac:dyDescent="0.25">
      <c r="A166" t="s">
        <v>14</v>
      </c>
      <c r="B166" t="s">
        <v>166</v>
      </c>
      <c r="C166">
        <v>11</v>
      </c>
      <c r="D166" s="16">
        <v>81</v>
      </c>
      <c r="E166">
        <v>11</v>
      </c>
      <c r="G166" s="17"/>
    </row>
    <row r="167" spans="1:7" ht="15.75" x14ac:dyDescent="0.25">
      <c r="A167" t="s">
        <v>14</v>
      </c>
      <c r="B167" t="s">
        <v>166</v>
      </c>
      <c r="C167">
        <v>12</v>
      </c>
      <c r="D167" s="16">
        <v>84.7</v>
      </c>
      <c r="E167">
        <v>12</v>
      </c>
      <c r="G167" s="17"/>
    </row>
    <row r="168" spans="1:7" ht="15.75" x14ac:dyDescent="0.25">
      <c r="A168" t="s">
        <v>14</v>
      </c>
      <c r="B168" t="s">
        <v>166</v>
      </c>
      <c r="C168">
        <v>13</v>
      </c>
      <c r="D168" s="16">
        <v>87.8</v>
      </c>
      <c r="E168">
        <v>13</v>
      </c>
      <c r="G168" s="17"/>
    </row>
    <row r="169" spans="1:7" ht="15.75" x14ac:dyDescent="0.25">
      <c r="A169" t="s">
        <v>14</v>
      </c>
      <c r="B169" t="s">
        <v>166</v>
      </c>
      <c r="C169">
        <v>14</v>
      </c>
      <c r="D169" s="16">
        <v>87.6</v>
      </c>
      <c r="E169">
        <v>14</v>
      </c>
      <c r="G169" s="17"/>
    </row>
    <row r="170" spans="1:7" ht="15.75" x14ac:dyDescent="0.25">
      <c r="A170" t="s">
        <v>14</v>
      </c>
      <c r="B170" t="s">
        <v>166</v>
      </c>
      <c r="C170">
        <v>15</v>
      </c>
      <c r="D170" s="16">
        <v>59.3</v>
      </c>
      <c r="E170">
        <v>15</v>
      </c>
      <c r="G170" s="17"/>
    </row>
    <row r="171" spans="1:7" ht="15.75" x14ac:dyDescent="0.25">
      <c r="A171" t="s">
        <v>14</v>
      </c>
      <c r="B171" t="s">
        <v>166</v>
      </c>
      <c r="C171">
        <v>17</v>
      </c>
      <c r="D171" s="16">
        <v>73.8</v>
      </c>
      <c r="E171">
        <v>17</v>
      </c>
      <c r="G171" s="17"/>
    </row>
    <row r="172" spans="1:7" ht="15.75" x14ac:dyDescent="0.25">
      <c r="A172" t="s">
        <v>14</v>
      </c>
      <c r="B172" t="s">
        <v>166</v>
      </c>
      <c r="C172">
        <v>18</v>
      </c>
      <c r="D172" s="16">
        <v>79.7</v>
      </c>
      <c r="E172">
        <v>18</v>
      </c>
      <c r="G172" s="17"/>
    </row>
    <row r="173" spans="1:7" ht="15.75" x14ac:dyDescent="0.25">
      <c r="A173" t="s">
        <v>14</v>
      </c>
      <c r="B173" t="s">
        <v>166</v>
      </c>
      <c r="C173">
        <v>19</v>
      </c>
      <c r="D173" s="16">
        <v>58</v>
      </c>
      <c r="E173">
        <v>19</v>
      </c>
      <c r="G173" s="17"/>
    </row>
    <row r="174" spans="1:7" ht="15.75" x14ac:dyDescent="0.25">
      <c r="A174" t="s">
        <v>14</v>
      </c>
      <c r="B174" t="s">
        <v>166</v>
      </c>
      <c r="C174">
        <v>20</v>
      </c>
      <c r="D174" s="16">
        <v>53.7</v>
      </c>
      <c r="E174">
        <v>20</v>
      </c>
      <c r="G174" s="17"/>
    </row>
    <row r="175" spans="1:7" ht="15.75" x14ac:dyDescent="0.25">
      <c r="A175" t="s">
        <v>14</v>
      </c>
      <c r="B175" t="s">
        <v>166</v>
      </c>
      <c r="C175">
        <v>21</v>
      </c>
      <c r="D175" s="16">
        <v>48.3</v>
      </c>
      <c r="E175">
        <v>21</v>
      </c>
      <c r="G175" s="17"/>
    </row>
    <row r="176" spans="1:7" ht="15.75" x14ac:dyDescent="0.25">
      <c r="A176" t="s">
        <v>14</v>
      </c>
      <c r="B176" t="s">
        <v>166</v>
      </c>
      <c r="C176">
        <v>22</v>
      </c>
      <c r="D176" s="16">
        <v>53.2</v>
      </c>
      <c r="E176">
        <v>22</v>
      </c>
      <c r="G176" s="17"/>
    </row>
    <row r="177" spans="1:7" ht="15.75" x14ac:dyDescent="0.25">
      <c r="A177" t="s">
        <v>14</v>
      </c>
      <c r="B177" t="s">
        <v>166</v>
      </c>
      <c r="C177">
        <v>23</v>
      </c>
      <c r="D177" s="16">
        <v>49.1</v>
      </c>
      <c r="E177">
        <v>23</v>
      </c>
      <c r="G177" s="17"/>
    </row>
    <row r="178" spans="1:7" ht="15.75" x14ac:dyDescent="0.25">
      <c r="A178" t="s">
        <v>14</v>
      </c>
      <c r="B178" t="s">
        <v>166</v>
      </c>
      <c r="C178">
        <v>24</v>
      </c>
      <c r="D178" s="16">
        <v>50.5</v>
      </c>
      <c r="E178">
        <v>24</v>
      </c>
      <c r="G178" s="17"/>
    </row>
    <row r="179" spans="1:7" ht="15.75" x14ac:dyDescent="0.25">
      <c r="A179" t="s">
        <v>14</v>
      </c>
      <c r="B179" t="s">
        <v>166</v>
      </c>
      <c r="C179">
        <v>25</v>
      </c>
      <c r="D179" s="16">
        <v>47.9</v>
      </c>
      <c r="E179">
        <v>25</v>
      </c>
      <c r="G179" s="17"/>
    </row>
    <row r="180" spans="1:7" ht="15.75" x14ac:dyDescent="0.25">
      <c r="A180" t="s">
        <v>14</v>
      </c>
      <c r="B180" t="s">
        <v>166</v>
      </c>
      <c r="C180">
        <v>26</v>
      </c>
      <c r="D180" s="16">
        <v>46.3</v>
      </c>
      <c r="E180">
        <v>26</v>
      </c>
      <c r="G180" s="17"/>
    </row>
    <row r="181" spans="1:7" ht="15.75" x14ac:dyDescent="0.25">
      <c r="A181" t="s">
        <v>14</v>
      </c>
      <c r="B181" t="s">
        <v>166</v>
      </c>
      <c r="C181">
        <v>27</v>
      </c>
      <c r="D181" s="16">
        <v>73.5</v>
      </c>
      <c r="E181">
        <v>27</v>
      </c>
      <c r="G181" s="17"/>
    </row>
    <row r="182" spans="1:7" ht="15.75" x14ac:dyDescent="0.25">
      <c r="A182" t="s">
        <v>14</v>
      </c>
      <c r="B182" t="s">
        <v>166</v>
      </c>
      <c r="C182">
        <v>28</v>
      </c>
      <c r="D182" s="16">
        <v>48.2</v>
      </c>
      <c r="E182">
        <v>28</v>
      </c>
      <c r="G182" s="17"/>
    </row>
    <row r="183" spans="1:7" ht="15.75" x14ac:dyDescent="0.25">
      <c r="A183" t="s">
        <v>14</v>
      </c>
      <c r="B183" t="s">
        <v>166</v>
      </c>
      <c r="C183" t="s">
        <v>186</v>
      </c>
      <c r="D183" s="16">
        <v>107.5</v>
      </c>
      <c r="E183" t="s">
        <v>186</v>
      </c>
      <c r="G183" s="17"/>
    </row>
    <row r="184" spans="1:7" ht="15.75" x14ac:dyDescent="0.25">
      <c r="A184" t="s">
        <v>14</v>
      </c>
      <c r="B184" t="s">
        <v>166</v>
      </c>
      <c r="C184" t="s">
        <v>187</v>
      </c>
      <c r="D184" s="16">
        <v>53.3</v>
      </c>
      <c r="E184" t="s">
        <v>187</v>
      </c>
      <c r="G184" s="17"/>
    </row>
    <row r="185" spans="1:7" ht="15.75" x14ac:dyDescent="0.25">
      <c r="A185" t="s">
        <v>14</v>
      </c>
      <c r="B185" t="s">
        <v>166</v>
      </c>
      <c r="C185" t="s">
        <v>212</v>
      </c>
      <c r="D185" s="16">
        <v>16.3</v>
      </c>
      <c r="E185" t="s">
        <v>210</v>
      </c>
      <c r="G185" s="17"/>
    </row>
    <row r="186" spans="1:7" x14ac:dyDescent="0.25">
      <c r="A186" t="s">
        <v>14</v>
      </c>
      <c r="B186" t="s">
        <v>166</v>
      </c>
      <c r="C186" t="s">
        <v>188</v>
      </c>
      <c r="D186" s="16">
        <v>37.200000000000003</v>
      </c>
      <c r="E186" t="s">
        <v>211</v>
      </c>
    </row>
    <row r="187" spans="1:7" ht="15.75" x14ac:dyDescent="0.25">
      <c r="A187" t="s">
        <v>14</v>
      </c>
      <c r="B187" t="s">
        <v>166</v>
      </c>
      <c r="C187" t="s">
        <v>213</v>
      </c>
      <c r="D187" s="16">
        <v>9.6999999999999993</v>
      </c>
      <c r="E187" t="s">
        <v>211</v>
      </c>
      <c r="G187" s="17"/>
    </row>
    <row r="188" spans="1:7" x14ac:dyDescent="0.25">
      <c r="A188" t="s">
        <v>225</v>
      </c>
      <c r="B188" s="20" t="s">
        <v>167</v>
      </c>
      <c r="C188" s="20" t="s">
        <v>182</v>
      </c>
      <c r="D188" s="20">
        <v>51</v>
      </c>
      <c r="E188" s="20" t="s">
        <v>242</v>
      </c>
    </row>
    <row r="189" spans="1:7" x14ac:dyDescent="0.25">
      <c r="A189" t="s">
        <v>225</v>
      </c>
      <c r="B189" s="20" t="s">
        <v>167</v>
      </c>
      <c r="C189" s="20" t="s">
        <v>196</v>
      </c>
      <c r="D189" s="20">
        <v>188</v>
      </c>
      <c r="E189" s="20" t="s">
        <v>242</v>
      </c>
    </row>
    <row r="190" spans="1:7" x14ac:dyDescent="0.25">
      <c r="A190" t="s">
        <v>225</v>
      </c>
      <c r="B190" s="20" t="s">
        <v>167</v>
      </c>
      <c r="C190" s="20">
        <v>2</v>
      </c>
      <c r="D190" s="20">
        <v>218</v>
      </c>
      <c r="E190" s="20" t="s">
        <v>242</v>
      </c>
    </row>
    <row r="191" spans="1:7" x14ac:dyDescent="0.25">
      <c r="A191" t="s">
        <v>225</v>
      </c>
      <c r="B191" s="20" t="s">
        <v>167</v>
      </c>
      <c r="C191" s="20" t="s">
        <v>197</v>
      </c>
      <c r="D191" s="20">
        <v>2</v>
      </c>
      <c r="E191" s="20" t="s">
        <v>242</v>
      </c>
    </row>
    <row r="192" spans="1:7" x14ac:dyDescent="0.25">
      <c r="A192" t="s">
        <v>225</v>
      </c>
      <c r="B192" s="20" t="s">
        <v>167</v>
      </c>
      <c r="C192" s="20" t="s">
        <v>198</v>
      </c>
      <c r="D192" s="20">
        <v>0</v>
      </c>
      <c r="E192" s="20" t="s">
        <v>242</v>
      </c>
    </row>
    <row r="193" spans="1:5" x14ac:dyDescent="0.25">
      <c r="A193" t="s">
        <v>225</v>
      </c>
      <c r="B193" s="20" t="s">
        <v>167</v>
      </c>
      <c r="C193" s="20" t="s">
        <v>199</v>
      </c>
      <c r="D193" s="20">
        <v>35</v>
      </c>
      <c r="E193" s="20" t="s">
        <v>242</v>
      </c>
    </row>
    <row r="194" spans="1:5" x14ac:dyDescent="0.25">
      <c r="A194" t="s">
        <v>225</v>
      </c>
      <c r="B194" s="20" t="s">
        <v>167</v>
      </c>
      <c r="C194" s="20" t="s">
        <v>200</v>
      </c>
      <c r="D194" s="20">
        <v>0</v>
      </c>
      <c r="E194" s="20" t="s">
        <v>242</v>
      </c>
    </row>
    <row r="195" spans="1:5" x14ac:dyDescent="0.25">
      <c r="A195" t="s">
        <v>225</v>
      </c>
      <c r="B195" s="20" t="s">
        <v>167</v>
      </c>
      <c r="C195" s="20" t="s">
        <v>201</v>
      </c>
      <c r="D195" s="20">
        <v>0</v>
      </c>
      <c r="E195" s="20" t="s">
        <v>242</v>
      </c>
    </row>
    <row r="196" spans="1:5" x14ac:dyDescent="0.25">
      <c r="A196" t="s">
        <v>225</v>
      </c>
      <c r="B196" s="20" t="s">
        <v>167</v>
      </c>
      <c r="C196" s="20" t="s">
        <v>183</v>
      </c>
      <c r="D196" s="20">
        <v>0</v>
      </c>
      <c r="E196" s="20" t="s">
        <v>242</v>
      </c>
    </row>
    <row r="197" spans="1:5" x14ac:dyDescent="0.25">
      <c r="A197" t="s">
        <v>225</v>
      </c>
      <c r="B197" s="20" t="s">
        <v>167</v>
      </c>
      <c r="C197" s="20" t="s">
        <v>202</v>
      </c>
      <c r="D197" s="20">
        <v>22</v>
      </c>
      <c r="E197" s="20" t="s">
        <v>242</v>
      </c>
    </row>
    <row r="198" spans="1:5" x14ac:dyDescent="0.25">
      <c r="A198" t="s">
        <v>225</v>
      </c>
      <c r="B198" s="20" t="s">
        <v>167</v>
      </c>
      <c r="C198" s="20" t="s">
        <v>203</v>
      </c>
      <c r="D198" s="20">
        <v>0</v>
      </c>
      <c r="E198" s="20" t="s">
        <v>242</v>
      </c>
    </row>
    <row r="199" spans="1:5" x14ac:dyDescent="0.25">
      <c r="A199" t="s">
        <v>225</v>
      </c>
      <c r="B199" s="20" t="s">
        <v>167</v>
      </c>
      <c r="C199" s="20">
        <v>5</v>
      </c>
      <c r="D199" s="20">
        <v>69</v>
      </c>
      <c r="E199" s="20" t="s">
        <v>242</v>
      </c>
    </row>
    <row r="200" spans="1:5" x14ac:dyDescent="0.25">
      <c r="A200" t="s">
        <v>225</v>
      </c>
      <c r="B200" s="20" t="s">
        <v>167</v>
      </c>
      <c r="C200" s="20">
        <v>6</v>
      </c>
      <c r="D200" s="20">
        <v>80</v>
      </c>
      <c r="E200" s="20" t="s">
        <v>242</v>
      </c>
    </row>
    <row r="201" spans="1:5" x14ac:dyDescent="0.25">
      <c r="A201" t="s">
        <v>225</v>
      </c>
      <c r="B201" s="20" t="s">
        <v>167</v>
      </c>
      <c r="C201" s="20">
        <v>7</v>
      </c>
      <c r="D201" s="20">
        <v>90</v>
      </c>
      <c r="E201" s="20" t="s">
        <v>242</v>
      </c>
    </row>
    <row r="202" spans="1:5" x14ac:dyDescent="0.25">
      <c r="A202" t="s">
        <v>225</v>
      </c>
      <c r="B202" s="20" t="s">
        <v>167</v>
      </c>
      <c r="C202" s="20">
        <v>8</v>
      </c>
      <c r="D202" s="20">
        <v>37</v>
      </c>
      <c r="E202" s="20" t="s">
        <v>242</v>
      </c>
    </row>
    <row r="203" spans="1:5" x14ac:dyDescent="0.25">
      <c r="A203" t="s">
        <v>225</v>
      </c>
      <c r="B203" s="20" t="s">
        <v>167</v>
      </c>
      <c r="C203" s="20">
        <v>9</v>
      </c>
      <c r="D203" s="20">
        <v>0</v>
      </c>
      <c r="E203" s="20" t="s">
        <v>242</v>
      </c>
    </row>
    <row r="204" spans="1:5" x14ac:dyDescent="0.25">
      <c r="A204" t="s">
        <v>225</v>
      </c>
      <c r="B204" s="20" t="s">
        <v>167</v>
      </c>
      <c r="C204" s="20">
        <v>10</v>
      </c>
      <c r="D204" s="20">
        <v>5</v>
      </c>
      <c r="E204" s="20" t="s">
        <v>242</v>
      </c>
    </row>
    <row r="205" spans="1:5" x14ac:dyDescent="0.25">
      <c r="A205" t="s">
        <v>225</v>
      </c>
      <c r="B205" s="20" t="s">
        <v>167</v>
      </c>
      <c r="C205" s="20">
        <v>11</v>
      </c>
      <c r="D205" s="20">
        <v>27</v>
      </c>
      <c r="E205" s="20" t="s">
        <v>242</v>
      </c>
    </row>
    <row r="206" spans="1:5" x14ac:dyDescent="0.25">
      <c r="A206" t="s">
        <v>225</v>
      </c>
      <c r="B206" s="20" t="s">
        <v>167</v>
      </c>
      <c r="C206" s="20">
        <v>12</v>
      </c>
      <c r="D206" s="20">
        <v>11</v>
      </c>
      <c r="E206" s="20" t="s">
        <v>242</v>
      </c>
    </row>
    <row r="207" spans="1:5" x14ac:dyDescent="0.25">
      <c r="A207" t="s">
        <v>225</v>
      </c>
      <c r="B207" s="20" t="s">
        <v>167</v>
      </c>
      <c r="C207" s="20">
        <v>13</v>
      </c>
      <c r="D207" s="20">
        <v>27</v>
      </c>
      <c r="E207" s="20" t="s">
        <v>242</v>
      </c>
    </row>
    <row r="208" spans="1:5" x14ac:dyDescent="0.25">
      <c r="A208" t="s">
        <v>225</v>
      </c>
      <c r="B208" s="20" t="s">
        <v>167</v>
      </c>
      <c r="C208" s="20">
        <v>15</v>
      </c>
      <c r="D208" s="20">
        <v>0</v>
      </c>
      <c r="E208" s="20" t="s">
        <v>242</v>
      </c>
    </row>
    <row r="209" spans="1:5" x14ac:dyDescent="0.25">
      <c r="A209" t="s">
        <v>225</v>
      </c>
      <c r="B209" s="20" t="s">
        <v>167</v>
      </c>
      <c r="C209" s="20">
        <v>17</v>
      </c>
      <c r="D209" s="20">
        <v>0</v>
      </c>
      <c r="E209" s="20" t="s">
        <v>242</v>
      </c>
    </row>
    <row r="210" spans="1:5" x14ac:dyDescent="0.25">
      <c r="A210" t="s">
        <v>225</v>
      </c>
      <c r="B210" s="20" t="s">
        <v>167</v>
      </c>
      <c r="C210" s="20">
        <v>18</v>
      </c>
      <c r="D210" s="20">
        <v>0</v>
      </c>
      <c r="E210" s="20" t="s">
        <v>242</v>
      </c>
    </row>
    <row r="211" spans="1:5" x14ac:dyDescent="0.25">
      <c r="A211" t="s">
        <v>225</v>
      </c>
      <c r="B211" s="20" t="s">
        <v>167</v>
      </c>
      <c r="C211" s="20">
        <v>20</v>
      </c>
      <c r="D211" s="20">
        <v>59</v>
      </c>
      <c r="E211" s="20" t="s">
        <v>242</v>
      </c>
    </row>
    <row r="212" spans="1:5" x14ac:dyDescent="0.25">
      <c r="A212" t="s">
        <v>225</v>
      </c>
      <c r="B212" s="20" t="s">
        <v>167</v>
      </c>
      <c r="C212" s="20">
        <v>21</v>
      </c>
      <c r="D212" s="20">
        <v>14</v>
      </c>
      <c r="E212" s="20" t="s">
        <v>242</v>
      </c>
    </row>
    <row r="213" spans="1:5" x14ac:dyDescent="0.25">
      <c r="A213" t="s">
        <v>225</v>
      </c>
      <c r="B213" s="20" t="s">
        <v>167</v>
      </c>
      <c r="C213" s="20">
        <v>22</v>
      </c>
      <c r="D213" s="20">
        <v>0</v>
      </c>
      <c r="E213" s="20" t="s">
        <v>242</v>
      </c>
    </row>
    <row r="214" spans="1:5" x14ac:dyDescent="0.25">
      <c r="A214" t="s">
        <v>225</v>
      </c>
      <c r="B214" s="20" t="s">
        <v>167</v>
      </c>
      <c r="C214" s="20">
        <v>28</v>
      </c>
      <c r="D214" s="20">
        <v>0</v>
      </c>
      <c r="E214" s="20" t="s">
        <v>242</v>
      </c>
    </row>
    <row r="215" spans="1:5" x14ac:dyDescent="0.25">
      <c r="A215" t="s">
        <v>225</v>
      </c>
      <c r="B215" s="20" t="s">
        <v>167</v>
      </c>
      <c r="C215" s="20" t="s">
        <v>186</v>
      </c>
      <c r="D215" s="20">
        <v>142</v>
      </c>
      <c r="E215" s="20" t="s">
        <v>242</v>
      </c>
    </row>
    <row r="216" spans="1:5" x14ac:dyDescent="0.25">
      <c r="A216" t="s">
        <v>18</v>
      </c>
      <c r="B216" s="20" t="s">
        <v>168</v>
      </c>
      <c r="C216" s="20">
        <v>1</v>
      </c>
      <c r="D216" s="20">
        <v>203.1</v>
      </c>
      <c r="E216" s="20" t="s">
        <v>242</v>
      </c>
    </row>
    <row r="217" spans="1:5" x14ac:dyDescent="0.25">
      <c r="A217" t="s">
        <v>18</v>
      </c>
      <c r="B217" s="20" t="s">
        <v>168</v>
      </c>
      <c r="C217" s="20" t="s">
        <v>182</v>
      </c>
      <c r="D217" s="20">
        <v>102</v>
      </c>
      <c r="E217" s="20" t="s">
        <v>242</v>
      </c>
    </row>
    <row r="218" spans="1:5" x14ac:dyDescent="0.25">
      <c r="A218" t="s">
        <v>18</v>
      </c>
      <c r="B218" s="20" t="s">
        <v>168</v>
      </c>
      <c r="C218" s="20">
        <v>2</v>
      </c>
      <c r="D218" s="20">
        <v>145.30000000000001</v>
      </c>
      <c r="E218" s="20" t="s">
        <v>242</v>
      </c>
    </row>
    <row r="219" spans="1:5" x14ac:dyDescent="0.25">
      <c r="A219" t="s">
        <v>18</v>
      </c>
      <c r="B219" s="20" t="s">
        <v>168</v>
      </c>
      <c r="C219" s="20">
        <v>3</v>
      </c>
      <c r="D219" s="20">
        <v>160.19999999999999</v>
      </c>
      <c r="E219" s="20" t="s">
        <v>242</v>
      </c>
    </row>
    <row r="220" spans="1:5" x14ac:dyDescent="0.25">
      <c r="A220" t="s">
        <v>18</v>
      </c>
      <c r="B220" s="20" t="s">
        <v>168</v>
      </c>
      <c r="C220" s="20">
        <v>4</v>
      </c>
      <c r="D220" s="20">
        <v>146.5</v>
      </c>
      <c r="E220" s="20" t="s">
        <v>242</v>
      </c>
    </row>
    <row r="221" spans="1:5" x14ac:dyDescent="0.25">
      <c r="A221" t="s">
        <v>18</v>
      </c>
      <c r="B221" s="20" t="s">
        <v>168</v>
      </c>
      <c r="C221" s="20" t="s">
        <v>183</v>
      </c>
      <c r="D221" s="20">
        <v>27.8</v>
      </c>
      <c r="E221" s="20" t="s">
        <v>242</v>
      </c>
    </row>
    <row r="222" spans="1:5" x14ac:dyDescent="0.25">
      <c r="A222" t="s">
        <v>18</v>
      </c>
      <c r="B222" s="20" t="s">
        <v>168</v>
      </c>
      <c r="C222" s="20">
        <v>5</v>
      </c>
      <c r="D222" s="20">
        <v>125.1</v>
      </c>
      <c r="E222" s="20" t="s">
        <v>242</v>
      </c>
    </row>
    <row r="223" spans="1:5" x14ac:dyDescent="0.25">
      <c r="A223" t="s">
        <v>18</v>
      </c>
      <c r="B223" s="20" t="s">
        <v>168</v>
      </c>
      <c r="C223" s="20">
        <v>6</v>
      </c>
      <c r="D223" s="20">
        <v>121.6</v>
      </c>
      <c r="E223" s="20" t="s">
        <v>242</v>
      </c>
    </row>
    <row r="224" spans="1:5" x14ac:dyDescent="0.25">
      <c r="A224" t="s">
        <v>18</v>
      </c>
      <c r="B224" s="20" t="s">
        <v>168</v>
      </c>
      <c r="C224" s="20">
        <v>7</v>
      </c>
      <c r="D224" s="20">
        <v>71</v>
      </c>
      <c r="E224" s="20" t="s">
        <v>242</v>
      </c>
    </row>
    <row r="225" spans="1:5" x14ac:dyDescent="0.25">
      <c r="A225" t="s">
        <v>18</v>
      </c>
      <c r="B225" s="20" t="s">
        <v>168</v>
      </c>
      <c r="C225" s="20">
        <v>8</v>
      </c>
      <c r="D225" s="20">
        <v>52.1</v>
      </c>
      <c r="E225" s="20" t="s">
        <v>242</v>
      </c>
    </row>
    <row r="226" spans="1:5" x14ac:dyDescent="0.25">
      <c r="A226" t="s">
        <v>18</v>
      </c>
      <c r="B226" s="20" t="s">
        <v>168</v>
      </c>
      <c r="C226" s="20">
        <v>9</v>
      </c>
      <c r="D226" s="20">
        <v>79.3</v>
      </c>
      <c r="E226" s="20" t="s">
        <v>242</v>
      </c>
    </row>
    <row r="227" spans="1:5" x14ac:dyDescent="0.25">
      <c r="A227" t="s">
        <v>18</v>
      </c>
      <c r="B227" s="20" t="s">
        <v>168</v>
      </c>
      <c r="C227" s="20">
        <v>10</v>
      </c>
      <c r="D227" s="20">
        <v>39.799999999999997</v>
      </c>
      <c r="E227" s="20" t="s">
        <v>242</v>
      </c>
    </row>
    <row r="228" spans="1:5" x14ac:dyDescent="0.25">
      <c r="A228" t="s">
        <v>18</v>
      </c>
      <c r="B228" s="20" t="s">
        <v>168</v>
      </c>
      <c r="C228" s="20">
        <v>11</v>
      </c>
      <c r="D228" s="20">
        <v>41.8</v>
      </c>
      <c r="E228" s="20" t="s">
        <v>242</v>
      </c>
    </row>
    <row r="229" spans="1:5" x14ac:dyDescent="0.25">
      <c r="A229" t="s">
        <v>18</v>
      </c>
      <c r="B229" s="20" t="s">
        <v>168</v>
      </c>
      <c r="C229" s="20">
        <v>12</v>
      </c>
      <c r="D229" s="20">
        <v>69.099999999999994</v>
      </c>
      <c r="E229" s="20" t="s">
        <v>242</v>
      </c>
    </row>
    <row r="230" spans="1:5" x14ac:dyDescent="0.25">
      <c r="A230" t="s">
        <v>18</v>
      </c>
      <c r="B230" s="20" t="s">
        <v>168</v>
      </c>
      <c r="C230" s="20">
        <v>13</v>
      </c>
      <c r="D230" s="20">
        <v>0</v>
      </c>
      <c r="E230" s="20" t="s">
        <v>242</v>
      </c>
    </row>
    <row r="231" spans="1:5" x14ac:dyDescent="0.25">
      <c r="A231" t="s">
        <v>18</v>
      </c>
      <c r="B231" s="20" t="s">
        <v>168</v>
      </c>
      <c r="C231" s="20">
        <v>14</v>
      </c>
      <c r="D231" s="20">
        <v>10.199999999999999</v>
      </c>
      <c r="E231" s="20" t="s">
        <v>242</v>
      </c>
    </row>
    <row r="232" spans="1:5" x14ac:dyDescent="0.25">
      <c r="A232" t="s">
        <v>18</v>
      </c>
      <c r="B232" s="20" t="s">
        <v>168</v>
      </c>
      <c r="C232" s="20">
        <v>15</v>
      </c>
      <c r="D232" s="20">
        <v>0.2</v>
      </c>
      <c r="E232" s="20" t="s">
        <v>242</v>
      </c>
    </row>
    <row r="233" spans="1:5" x14ac:dyDescent="0.25">
      <c r="A233" t="s">
        <v>18</v>
      </c>
      <c r="B233" s="20" t="s">
        <v>168</v>
      </c>
      <c r="C233" s="20">
        <v>17</v>
      </c>
      <c r="D233" s="20">
        <v>39.799999999999997</v>
      </c>
      <c r="E233" s="20" t="s">
        <v>242</v>
      </c>
    </row>
    <row r="234" spans="1:5" x14ac:dyDescent="0.25">
      <c r="A234" t="s">
        <v>18</v>
      </c>
      <c r="B234" s="20" t="s">
        <v>168</v>
      </c>
      <c r="C234" s="20">
        <v>18</v>
      </c>
      <c r="D234" s="20">
        <v>59.7</v>
      </c>
      <c r="E234" s="20" t="s">
        <v>242</v>
      </c>
    </row>
    <row r="235" spans="1:5" x14ac:dyDescent="0.25">
      <c r="A235" t="s">
        <v>18</v>
      </c>
      <c r="B235" s="20" t="s">
        <v>168</v>
      </c>
      <c r="C235" s="20">
        <v>19</v>
      </c>
      <c r="D235" s="20">
        <v>7.9</v>
      </c>
      <c r="E235" s="20" t="s">
        <v>242</v>
      </c>
    </row>
    <row r="236" spans="1:5" x14ac:dyDescent="0.25">
      <c r="A236" t="s">
        <v>18</v>
      </c>
      <c r="B236" s="20" t="s">
        <v>168</v>
      </c>
      <c r="C236" s="20">
        <v>20</v>
      </c>
      <c r="D236" s="20">
        <v>19.7</v>
      </c>
      <c r="E236" s="20" t="s">
        <v>242</v>
      </c>
    </row>
    <row r="237" spans="1:5" x14ac:dyDescent="0.25">
      <c r="A237" t="s">
        <v>18</v>
      </c>
      <c r="B237" s="20" t="s">
        <v>168</v>
      </c>
      <c r="C237" s="20">
        <v>21</v>
      </c>
      <c r="D237" s="20">
        <v>0</v>
      </c>
      <c r="E237" s="20" t="s">
        <v>242</v>
      </c>
    </row>
    <row r="238" spans="1:5" x14ac:dyDescent="0.25">
      <c r="A238" t="s">
        <v>18</v>
      </c>
      <c r="B238" s="20" t="s">
        <v>168</v>
      </c>
      <c r="C238" s="20">
        <v>22</v>
      </c>
      <c r="D238" s="20">
        <v>0</v>
      </c>
      <c r="E238" s="20" t="s">
        <v>242</v>
      </c>
    </row>
    <row r="239" spans="1:5" x14ac:dyDescent="0.25">
      <c r="A239" t="s">
        <v>18</v>
      </c>
      <c r="B239" s="20" t="s">
        <v>168</v>
      </c>
      <c r="C239" s="20">
        <v>23</v>
      </c>
      <c r="D239" s="20">
        <v>32.5</v>
      </c>
      <c r="E239" s="20" t="s">
        <v>242</v>
      </c>
    </row>
    <row r="240" spans="1:5" x14ac:dyDescent="0.25">
      <c r="A240" t="s">
        <v>18</v>
      </c>
      <c r="B240" s="20" t="s">
        <v>168</v>
      </c>
      <c r="C240" s="20">
        <v>24</v>
      </c>
      <c r="D240" s="20">
        <v>48.7</v>
      </c>
      <c r="E240" s="20" t="s">
        <v>242</v>
      </c>
    </row>
    <row r="241" spans="1:5" x14ac:dyDescent="0.25">
      <c r="A241" t="s">
        <v>18</v>
      </c>
      <c r="B241" s="20" t="s">
        <v>168</v>
      </c>
      <c r="C241" s="20">
        <v>25</v>
      </c>
      <c r="D241" s="20">
        <v>17.399999999999999</v>
      </c>
      <c r="E241" s="20" t="s">
        <v>242</v>
      </c>
    </row>
    <row r="242" spans="1:5" x14ac:dyDescent="0.25">
      <c r="A242" t="s">
        <v>18</v>
      </c>
      <c r="B242" s="20" t="s">
        <v>168</v>
      </c>
      <c r="C242" s="20">
        <v>26</v>
      </c>
      <c r="D242" s="20">
        <v>56</v>
      </c>
      <c r="E242" s="20" t="s">
        <v>242</v>
      </c>
    </row>
    <row r="243" spans="1:5" x14ac:dyDescent="0.25">
      <c r="A243" t="s">
        <v>18</v>
      </c>
      <c r="B243" s="20" t="s">
        <v>168</v>
      </c>
      <c r="C243" s="20">
        <v>27</v>
      </c>
      <c r="D243" s="20">
        <v>54.7</v>
      </c>
      <c r="E243" s="20" t="s">
        <v>242</v>
      </c>
    </row>
    <row r="244" spans="1:5" x14ac:dyDescent="0.25">
      <c r="A244" t="s">
        <v>18</v>
      </c>
      <c r="B244" s="20" t="s">
        <v>168</v>
      </c>
      <c r="C244" s="20" t="s">
        <v>186</v>
      </c>
      <c r="D244" s="20">
        <v>57.7</v>
      </c>
      <c r="E244" s="20" t="s">
        <v>242</v>
      </c>
    </row>
    <row r="245" spans="1:5" x14ac:dyDescent="0.25">
      <c r="A245" t="s">
        <v>18</v>
      </c>
      <c r="B245" s="20" t="s">
        <v>168</v>
      </c>
      <c r="C245" s="20" t="s">
        <v>187</v>
      </c>
      <c r="D245" s="20">
        <v>0</v>
      </c>
      <c r="E245" s="20" t="s">
        <v>242</v>
      </c>
    </row>
    <row r="246" spans="1:5" x14ac:dyDescent="0.25">
      <c r="A246" t="s">
        <v>22</v>
      </c>
      <c r="B246" t="s">
        <v>169</v>
      </c>
      <c r="C246">
        <v>1</v>
      </c>
      <c r="D246">
        <v>171.4</v>
      </c>
      <c r="E246">
        <v>1</v>
      </c>
    </row>
    <row r="247" spans="1:5" x14ac:dyDescent="0.25">
      <c r="A247" t="s">
        <v>22</v>
      </c>
      <c r="B247" t="s">
        <v>169</v>
      </c>
      <c r="C247">
        <v>2</v>
      </c>
      <c r="D247">
        <v>85.7</v>
      </c>
      <c r="E247">
        <v>2</v>
      </c>
    </row>
    <row r="248" spans="1:5" x14ac:dyDescent="0.25">
      <c r="A248" t="s">
        <v>22</v>
      </c>
      <c r="B248" t="s">
        <v>169</v>
      </c>
      <c r="C248">
        <v>3</v>
      </c>
      <c r="D248">
        <v>200</v>
      </c>
      <c r="E248">
        <v>3</v>
      </c>
    </row>
    <row r="249" spans="1:5" x14ac:dyDescent="0.25">
      <c r="A249" t="s">
        <v>22</v>
      </c>
      <c r="B249" t="s">
        <v>169</v>
      </c>
      <c r="C249">
        <v>4</v>
      </c>
      <c r="D249">
        <v>85.7</v>
      </c>
      <c r="E249">
        <v>4</v>
      </c>
    </row>
    <row r="250" spans="1:5" x14ac:dyDescent="0.25">
      <c r="A250" t="s">
        <v>22</v>
      </c>
      <c r="B250" t="s">
        <v>169</v>
      </c>
      <c r="C250">
        <v>5</v>
      </c>
      <c r="D250">
        <v>142.9</v>
      </c>
      <c r="E250">
        <v>5</v>
      </c>
    </row>
    <row r="251" spans="1:5" x14ac:dyDescent="0.25">
      <c r="A251" t="s">
        <v>22</v>
      </c>
      <c r="B251" t="s">
        <v>169</v>
      </c>
      <c r="C251">
        <v>6</v>
      </c>
      <c r="D251">
        <v>114.3</v>
      </c>
      <c r="E251">
        <v>6</v>
      </c>
    </row>
    <row r="252" spans="1:5" x14ac:dyDescent="0.25">
      <c r="A252" t="s">
        <v>22</v>
      </c>
      <c r="B252" t="s">
        <v>169</v>
      </c>
      <c r="C252">
        <v>7</v>
      </c>
      <c r="D252">
        <v>171.4</v>
      </c>
      <c r="E252">
        <v>7</v>
      </c>
    </row>
    <row r="253" spans="1:5" x14ac:dyDescent="0.25">
      <c r="A253" t="s">
        <v>22</v>
      </c>
      <c r="B253" t="s">
        <v>169</v>
      </c>
      <c r="C253">
        <v>8</v>
      </c>
      <c r="D253">
        <v>142.9</v>
      </c>
      <c r="E253">
        <v>8</v>
      </c>
    </row>
    <row r="254" spans="1:5" x14ac:dyDescent="0.25">
      <c r="A254" t="s">
        <v>22</v>
      </c>
      <c r="B254" t="s">
        <v>169</v>
      </c>
      <c r="C254">
        <v>9</v>
      </c>
      <c r="D254">
        <v>171.4</v>
      </c>
      <c r="E254">
        <v>9</v>
      </c>
    </row>
    <row r="255" spans="1:5" x14ac:dyDescent="0.25">
      <c r="A255" t="s">
        <v>22</v>
      </c>
      <c r="B255" t="s">
        <v>169</v>
      </c>
      <c r="C255">
        <v>10</v>
      </c>
      <c r="D255">
        <v>85.7</v>
      </c>
      <c r="E255">
        <v>10</v>
      </c>
    </row>
    <row r="256" spans="1:5" x14ac:dyDescent="0.25">
      <c r="A256" t="s">
        <v>22</v>
      </c>
      <c r="B256" t="s">
        <v>169</v>
      </c>
      <c r="C256">
        <v>11</v>
      </c>
      <c r="D256">
        <v>157.1</v>
      </c>
      <c r="E256">
        <v>11</v>
      </c>
    </row>
    <row r="257" spans="1:5" x14ac:dyDescent="0.25">
      <c r="A257" t="s">
        <v>22</v>
      </c>
      <c r="B257" t="s">
        <v>169</v>
      </c>
      <c r="C257">
        <v>12</v>
      </c>
      <c r="D257">
        <v>142.9</v>
      </c>
      <c r="E257">
        <v>12</v>
      </c>
    </row>
    <row r="258" spans="1:5" x14ac:dyDescent="0.25">
      <c r="A258" t="s">
        <v>22</v>
      </c>
      <c r="B258" t="s">
        <v>169</v>
      </c>
      <c r="C258">
        <v>13</v>
      </c>
      <c r="D258">
        <v>114.3</v>
      </c>
      <c r="E258">
        <v>13</v>
      </c>
    </row>
    <row r="259" spans="1:5" x14ac:dyDescent="0.25">
      <c r="A259" t="s">
        <v>22</v>
      </c>
      <c r="B259" t="s">
        <v>169</v>
      </c>
      <c r="C259">
        <v>14</v>
      </c>
      <c r="D259">
        <v>100</v>
      </c>
      <c r="E259">
        <v>14</v>
      </c>
    </row>
    <row r="260" spans="1:5" x14ac:dyDescent="0.25">
      <c r="A260" t="s">
        <v>22</v>
      </c>
      <c r="B260" t="s">
        <v>169</v>
      </c>
      <c r="C260">
        <v>15</v>
      </c>
      <c r="D260">
        <v>100</v>
      </c>
      <c r="E260">
        <v>15</v>
      </c>
    </row>
    <row r="261" spans="1:5" x14ac:dyDescent="0.25">
      <c r="A261" t="s">
        <v>22</v>
      </c>
      <c r="B261" t="s">
        <v>169</v>
      </c>
      <c r="C261">
        <v>16</v>
      </c>
      <c r="D261">
        <v>42.9</v>
      </c>
      <c r="E261">
        <v>16</v>
      </c>
    </row>
    <row r="262" spans="1:5" x14ac:dyDescent="0.25">
      <c r="A262" t="s">
        <v>22</v>
      </c>
      <c r="B262" t="s">
        <v>169</v>
      </c>
      <c r="C262">
        <v>17</v>
      </c>
      <c r="D262">
        <v>114.3</v>
      </c>
      <c r="E262">
        <v>17</v>
      </c>
    </row>
    <row r="263" spans="1:5" x14ac:dyDescent="0.25">
      <c r="A263" t="s">
        <v>22</v>
      </c>
      <c r="B263" t="s">
        <v>169</v>
      </c>
      <c r="C263">
        <v>18</v>
      </c>
      <c r="D263">
        <v>57.1</v>
      </c>
      <c r="E263">
        <v>18</v>
      </c>
    </row>
    <row r="264" spans="1:5" x14ac:dyDescent="0.25">
      <c r="A264" t="s">
        <v>22</v>
      </c>
      <c r="B264" t="s">
        <v>169</v>
      </c>
      <c r="C264">
        <v>19</v>
      </c>
      <c r="D264">
        <v>42.9</v>
      </c>
      <c r="E264">
        <v>19</v>
      </c>
    </row>
    <row r="265" spans="1:5" x14ac:dyDescent="0.25">
      <c r="A265" t="s">
        <v>22</v>
      </c>
      <c r="B265" t="s">
        <v>169</v>
      </c>
      <c r="C265">
        <v>20</v>
      </c>
      <c r="D265">
        <v>114.3</v>
      </c>
      <c r="E265">
        <v>20</v>
      </c>
    </row>
    <row r="266" spans="1:5" x14ac:dyDescent="0.25">
      <c r="A266" t="s">
        <v>26</v>
      </c>
      <c r="B266" t="s">
        <v>31</v>
      </c>
      <c r="C266">
        <v>1</v>
      </c>
      <c r="D266">
        <v>90.11</v>
      </c>
      <c r="E266">
        <v>1</v>
      </c>
    </row>
    <row r="267" spans="1:5" x14ac:dyDescent="0.25">
      <c r="A267" t="s">
        <v>26</v>
      </c>
      <c r="B267" t="s">
        <v>31</v>
      </c>
      <c r="C267" t="s">
        <v>182</v>
      </c>
      <c r="D267">
        <v>74</v>
      </c>
      <c r="E267" t="s">
        <v>182</v>
      </c>
    </row>
    <row r="268" spans="1:5" x14ac:dyDescent="0.25">
      <c r="A268" t="s">
        <v>26</v>
      </c>
      <c r="B268" t="s">
        <v>31</v>
      </c>
      <c r="C268">
        <v>2</v>
      </c>
      <c r="D268">
        <v>104.54</v>
      </c>
      <c r="E268">
        <v>2</v>
      </c>
    </row>
    <row r="269" spans="1:5" x14ac:dyDescent="0.25">
      <c r="A269" t="s">
        <v>26</v>
      </c>
      <c r="B269" t="s">
        <v>31</v>
      </c>
      <c r="C269">
        <v>3</v>
      </c>
      <c r="D269">
        <v>75.75</v>
      </c>
      <c r="E269">
        <v>3</v>
      </c>
    </row>
    <row r="270" spans="1:5" x14ac:dyDescent="0.25">
      <c r="A270" t="s">
        <v>26</v>
      </c>
      <c r="B270" t="s">
        <v>31</v>
      </c>
      <c r="C270">
        <v>4</v>
      </c>
      <c r="D270">
        <v>94.59</v>
      </c>
      <c r="E270">
        <v>4</v>
      </c>
    </row>
    <row r="271" spans="1:5" x14ac:dyDescent="0.25">
      <c r="A271" t="s">
        <v>26</v>
      </c>
      <c r="B271" t="s">
        <v>31</v>
      </c>
      <c r="C271" t="s">
        <v>183</v>
      </c>
      <c r="D271">
        <v>48.56</v>
      </c>
      <c r="E271" t="s">
        <v>183</v>
      </c>
    </row>
    <row r="272" spans="1:5" x14ac:dyDescent="0.25">
      <c r="A272" t="s">
        <v>26</v>
      </c>
      <c r="B272" t="s">
        <v>31</v>
      </c>
      <c r="C272">
        <v>5</v>
      </c>
      <c r="D272">
        <v>86.62</v>
      </c>
      <c r="E272">
        <v>5</v>
      </c>
    </row>
    <row r="273" spans="1:5" x14ac:dyDescent="0.25">
      <c r="A273" t="s">
        <v>26</v>
      </c>
      <c r="B273" t="s">
        <v>31</v>
      </c>
      <c r="C273">
        <v>6</v>
      </c>
      <c r="D273">
        <v>66.349999999999994</v>
      </c>
      <c r="E273">
        <v>6</v>
      </c>
    </row>
    <row r="274" spans="1:5" x14ac:dyDescent="0.25">
      <c r="A274" t="s">
        <v>26</v>
      </c>
      <c r="B274" t="s">
        <v>31</v>
      </c>
      <c r="C274">
        <v>7</v>
      </c>
      <c r="D274">
        <v>84.07</v>
      </c>
      <c r="E274">
        <v>7</v>
      </c>
    </row>
    <row r="275" spans="1:5" x14ac:dyDescent="0.25">
      <c r="A275" t="s">
        <v>26</v>
      </c>
      <c r="B275" t="s">
        <v>31</v>
      </c>
      <c r="C275">
        <v>8</v>
      </c>
      <c r="D275">
        <v>84.7</v>
      </c>
      <c r="E275">
        <v>8</v>
      </c>
    </row>
    <row r="276" spans="1:5" x14ac:dyDescent="0.25">
      <c r="A276" t="s">
        <v>26</v>
      </c>
      <c r="B276" t="s">
        <v>31</v>
      </c>
      <c r="C276">
        <v>9</v>
      </c>
      <c r="D276">
        <v>54.55</v>
      </c>
      <c r="E276">
        <v>9</v>
      </c>
    </row>
    <row r="277" spans="1:5" x14ac:dyDescent="0.25">
      <c r="A277" t="s">
        <v>26</v>
      </c>
      <c r="B277" t="s">
        <v>31</v>
      </c>
      <c r="C277">
        <v>10</v>
      </c>
      <c r="D277">
        <v>78.61</v>
      </c>
      <c r="E277">
        <v>10</v>
      </c>
    </row>
    <row r="278" spans="1:5" x14ac:dyDescent="0.25">
      <c r="A278" t="s">
        <v>26</v>
      </c>
      <c r="B278" t="s">
        <v>31</v>
      </c>
      <c r="C278">
        <v>11</v>
      </c>
      <c r="D278">
        <v>47.16</v>
      </c>
      <c r="E278">
        <v>11</v>
      </c>
    </row>
    <row r="279" spans="1:5" x14ac:dyDescent="0.25">
      <c r="A279" t="s">
        <v>26</v>
      </c>
      <c r="B279" t="s">
        <v>31</v>
      </c>
      <c r="C279">
        <v>12</v>
      </c>
      <c r="D279">
        <v>60.19</v>
      </c>
      <c r="E279">
        <v>12</v>
      </c>
    </row>
    <row r="280" spans="1:5" x14ac:dyDescent="0.25">
      <c r="A280" t="s">
        <v>26</v>
      </c>
      <c r="B280" t="s">
        <v>31</v>
      </c>
      <c r="C280">
        <v>13</v>
      </c>
      <c r="D280">
        <v>46.88</v>
      </c>
      <c r="E280">
        <v>13</v>
      </c>
    </row>
    <row r="281" spans="1:5" x14ac:dyDescent="0.25">
      <c r="A281" t="s">
        <v>26</v>
      </c>
      <c r="B281" t="s">
        <v>31</v>
      </c>
      <c r="C281">
        <v>14</v>
      </c>
      <c r="D281">
        <v>79.739999999999995</v>
      </c>
      <c r="E281">
        <v>14</v>
      </c>
    </row>
    <row r="282" spans="1:5" x14ac:dyDescent="0.25">
      <c r="A282" t="s">
        <v>26</v>
      </c>
      <c r="B282" t="s">
        <v>31</v>
      </c>
      <c r="C282">
        <v>15</v>
      </c>
      <c r="D282">
        <v>67.23</v>
      </c>
      <c r="E282">
        <v>15</v>
      </c>
    </row>
    <row r="283" spans="1:5" x14ac:dyDescent="0.25">
      <c r="A283" t="s">
        <v>26</v>
      </c>
      <c r="B283" t="s">
        <v>31</v>
      </c>
      <c r="C283">
        <v>17</v>
      </c>
      <c r="D283">
        <v>50.47</v>
      </c>
      <c r="E283">
        <v>17</v>
      </c>
    </row>
    <row r="284" spans="1:5" x14ac:dyDescent="0.25">
      <c r="A284" t="s">
        <v>26</v>
      </c>
      <c r="B284" t="s">
        <v>31</v>
      </c>
      <c r="C284">
        <v>18</v>
      </c>
      <c r="D284">
        <v>48.22</v>
      </c>
      <c r="E284">
        <v>18</v>
      </c>
    </row>
    <row r="285" spans="1:5" x14ac:dyDescent="0.25">
      <c r="A285" t="s">
        <v>26</v>
      </c>
      <c r="B285" t="s">
        <v>31</v>
      </c>
      <c r="C285">
        <v>20</v>
      </c>
      <c r="D285">
        <v>47.28</v>
      </c>
      <c r="E285">
        <v>20</v>
      </c>
    </row>
    <row r="286" spans="1:5" x14ac:dyDescent="0.25">
      <c r="A286" t="s">
        <v>26</v>
      </c>
      <c r="B286" t="s">
        <v>31</v>
      </c>
      <c r="C286">
        <v>21</v>
      </c>
      <c r="D286">
        <v>25.93</v>
      </c>
      <c r="E286">
        <v>21</v>
      </c>
    </row>
    <row r="287" spans="1:5" x14ac:dyDescent="0.25">
      <c r="A287" t="s">
        <v>26</v>
      </c>
      <c r="B287" t="s">
        <v>31</v>
      </c>
      <c r="C287">
        <v>23</v>
      </c>
      <c r="D287">
        <v>26.9</v>
      </c>
      <c r="E287">
        <v>23</v>
      </c>
    </row>
    <row r="288" spans="1:5" x14ac:dyDescent="0.25">
      <c r="A288" t="s">
        <v>26</v>
      </c>
      <c r="B288" t="s">
        <v>31</v>
      </c>
      <c r="C288">
        <v>27</v>
      </c>
      <c r="D288">
        <v>17.14</v>
      </c>
      <c r="E288">
        <v>27</v>
      </c>
    </row>
    <row r="289" spans="1:5" x14ac:dyDescent="0.25">
      <c r="A289" t="s">
        <v>26</v>
      </c>
      <c r="B289" t="s">
        <v>31</v>
      </c>
      <c r="C289">
        <v>28</v>
      </c>
      <c r="D289">
        <v>22.16</v>
      </c>
      <c r="E289">
        <v>28</v>
      </c>
    </row>
    <row r="290" spans="1:5" x14ac:dyDescent="0.25">
      <c r="A290" t="s">
        <v>26</v>
      </c>
      <c r="B290" t="s">
        <v>31</v>
      </c>
      <c r="C290" t="s">
        <v>215</v>
      </c>
      <c r="D290" s="16">
        <v>72.81</v>
      </c>
      <c r="E290" t="s">
        <v>215</v>
      </c>
    </row>
    <row r="291" spans="1:5" x14ac:dyDescent="0.25">
      <c r="A291" t="s">
        <v>50</v>
      </c>
      <c r="B291" s="20" t="s">
        <v>170</v>
      </c>
      <c r="C291" s="20">
        <v>1</v>
      </c>
      <c r="D291" s="20">
        <v>108.97</v>
      </c>
      <c r="E291" s="20" t="s">
        <v>242</v>
      </c>
    </row>
    <row r="292" spans="1:5" x14ac:dyDescent="0.25">
      <c r="A292" t="s">
        <v>50</v>
      </c>
      <c r="B292" s="20" t="s">
        <v>170</v>
      </c>
      <c r="C292" s="20" t="s">
        <v>182</v>
      </c>
      <c r="D292" s="20">
        <v>84.75</v>
      </c>
      <c r="E292" s="20" t="s">
        <v>242</v>
      </c>
    </row>
    <row r="293" spans="1:5" x14ac:dyDescent="0.25">
      <c r="A293" t="s">
        <v>50</v>
      </c>
      <c r="B293" s="20" t="s">
        <v>170</v>
      </c>
      <c r="C293" s="20">
        <v>2</v>
      </c>
      <c r="D293" s="20">
        <v>112.22</v>
      </c>
      <c r="E293" s="20" t="s">
        <v>242</v>
      </c>
    </row>
    <row r="294" spans="1:5" x14ac:dyDescent="0.25">
      <c r="A294" t="s">
        <v>50</v>
      </c>
      <c r="B294" s="20" t="s">
        <v>170</v>
      </c>
      <c r="C294" s="20">
        <v>3</v>
      </c>
      <c r="D294" s="20">
        <v>93.56</v>
      </c>
      <c r="E294" s="20" t="s">
        <v>242</v>
      </c>
    </row>
    <row r="295" spans="1:5" x14ac:dyDescent="0.25">
      <c r="A295" t="s">
        <v>50</v>
      </c>
      <c r="B295" s="20" t="s">
        <v>170</v>
      </c>
      <c r="C295" s="20">
        <v>4</v>
      </c>
      <c r="D295" s="20">
        <v>96.24</v>
      </c>
      <c r="E295" s="20" t="s">
        <v>242</v>
      </c>
    </row>
    <row r="296" spans="1:5" x14ac:dyDescent="0.25">
      <c r="A296" t="s">
        <v>50</v>
      </c>
      <c r="B296" s="20" t="s">
        <v>170</v>
      </c>
      <c r="C296" s="20" t="s">
        <v>183</v>
      </c>
      <c r="D296" s="20">
        <v>60.96</v>
      </c>
      <c r="E296" s="20" t="s">
        <v>242</v>
      </c>
    </row>
    <row r="297" spans="1:5" x14ac:dyDescent="0.25">
      <c r="A297" t="s">
        <v>50</v>
      </c>
      <c r="B297" s="20" t="s">
        <v>170</v>
      </c>
      <c r="C297" s="20">
        <v>5</v>
      </c>
      <c r="D297" s="20">
        <v>95.94</v>
      </c>
      <c r="E297" s="20" t="s">
        <v>242</v>
      </c>
    </row>
    <row r="298" spans="1:5" x14ac:dyDescent="0.25">
      <c r="A298" t="s">
        <v>50</v>
      </c>
      <c r="B298" s="20" t="s">
        <v>170</v>
      </c>
      <c r="C298" s="20">
        <v>6</v>
      </c>
      <c r="D298" s="20">
        <v>71.599999999999994</v>
      </c>
      <c r="E298" s="20" t="s">
        <v>242</v>
      </c>
    </row>
    <row r="299" spans="1:5" x14ac:dyDescent="0.25">
      <c r="A299" t="s">
        <v>50</v>
      </c>
      <c r="B299" s="20" t="s">
        <v>170</v>
      </c>
      <c r="C299" s="20">
        <v>7</v>
      </c>
      <c r="D299" s="20">
        <v>82.3</v>
      </c>
      <c r="E299" s="20" t="s">
        <v>242</v>
      </c>
    </row>
    <row r="300" spans="1:5" x14ac:dyDescent="0.25">
      <c r="A300" t="s">
        <v>50</v>
      </c>
      <c r="B300" s="20" t="s">
        <v>170</v>
      </c>
      <c r="C300" s="20">
        <v>8</v>
      </c>
      <c r="D300" s="20">
        <v>52.11</v>
      </c>
      <c r="E300" s="20" t="s">
        <v>242</v>
      </c>
    </row>
    <row r="301" spans="1:5" x14ac:dyDescent="0.25">
      <c r="A301" t="s">
        <v>50</v>
      </c>
      <c r="B301" s="20" t="s">
        <v>170</v>
      </c>
      <c r="C301" s="20">
        <v>9</v>
      </c>
      <c r="D301" s="20">
        <v>72.8</v>
      </c>
      <c r="E301" s="20" t="s">
        <v>242</v>
      </c>
    </row>
    <row r="302" spans="1:5" x14ac:dyDescent="0.25">
      <c r="A302" t="s">
        <v>50</v>
      </c>
      <c r="B302" s="20" t="s">
        <v>170</v>
      </c>
      <c r="C302" s="20">
        <v>10</v>
      </c>
      <c r="D302" s="20">
        <v>61.41</v>
      </c>
      <c r="E302" s="20" t="s">
        <v>242</v>
      </c>
    </row>
    <row r="303" spans="1:5" x14ac:dyDescent="0.25">
      <c r="A303" t="s">
        <v>50</v>
      </c>
      <c r="B303" s="20" t="s">
        <v>170</v>
      </c>
      <c r="C303" s="20">
        <v>11</v>
      </c>
      <c r="D303" s="20">
        <v>56.09</v>
      </c>
      <c r="E303" s="20" t="s">
        <v>242</v>
      </c>
    </row>
    <row r="304" spans="1:5" x14ac:dyDescent="0.25">
      <c r="A304" t="s">
        <v>50</v>
      </c>
      <c r="B304" s="20" t="s">
        <v>170</v>
      </c>
      <c r="C304" s="20">
        <v>12</v>
      </c>
      <c r="D304" s="20">
        <v>58.54</v>
      </c>
      <c r="E304" s="20" t="s">
        <v>242</v>
      </c>
    </row>
    <row r="305" spans="1:6" x14ac:dyDescent="0.25">
      <c r="A305" t="s">
        <v>50</v>
      </c>
      <c r="B305" s="20" t="s">
        <v>170</v>
      </c>
      <c r="C305" s="20">
        <v>13</v>
      </c>
      <c r="D305" s="20">
        <v>54.88</v>
      </c>
      <c r="E305" s="20" t="s">
        <v>242</v>
      </c>
    </row>
    <row r="306" spans="1:6" x14ac:dyDescent="0.25">
      <c r="A306" t="s">
        <v>50</v>
      </c>
      <c r="B306" s="20" t="s">
        <v>170</v>
      </c>
      <c r="C306" s="20">
        <v>14</v>
      </c>
      <c r="D306" s="20">
        <v>50.57</v>
      </c>
      <c r="E306" s="20" t="s">
        <v>242</v>
      </c>
    </row>
    <row r="307" spans="1:6" x14ac:dyDescent="0.25">
      <c r="A307" t="s">
        <v>50</v>
      </c>
      <c r="B307" s="20" t="s">
        <v>170</v>
      </c>
      <c r="C307" s="20">
        <v>15</v>
      </c>
      <c r="D307" s="20">
        <v>50.35</v>
      </c>
      <c r="E307" s="20" t="s">
        <v>242</v>
      </c>
    </row>
    <row r="308" spans="1:6" x14ac:dyDescent="0.25">
      <c r="A308" t="s">
        <v>50</v>
      </c>
      <c r="B308" s="20" t="s">
        <v>170</v>
      </c>
      <c r="C308" s="20">
        <v>17</v>
      </c>
      <c r="D308" s="20">
        <v>42.38</v>
      </c>
      <c r="E308" s="20" t="s">
        <v>242</v>
      </c>
    </row>
    <row r="309" spans="1:6" x14ac:dyDescent="0.25">
      <c r="A309" t="s">
        <v>50</v>
      </c>
      <c r="B309" s="20" t="s">
        <v>170</v>
      </c>
      <c r="C309" s="20">
        <v>18</v>
      </c>
      <c r="D309" s="20">
        <v>46.82</v>
      </c>
      <c r="E309" s="20" t="s">
        <v>242</v>
      </c>
    </row>
    <row r="310" spans="1:6" x14ac:dyDescent="0.25">
      <c r="A310" t="s">
        <v>50</v>
      </c>
      <c r="B310" s="20" t="s">
        <v>170</v>
      </c>
      <c r="C310" s="20">
        <v>19</v>
      </c>
      <c r="D310" s="20">
        <v>42.91</v>
      </c>
      <c r="E310" s="20" t="s">
        <v>242</v>
      </c>
    </row>
    <row r="311" spans="1:6" x14ac:dyDescent="0.25">
      <c r="A311" t="s">
        <v>50</v>
      </c>
      <c r="B311" s="20" t="s">
        <v>170</v>
      </c>
      <c r="C311" s="20">
        <v>20</v>
      </c>
      <c r="D311" s="20">
        <v>57.24</v>
      </c>
      <c r="E311" s="20" t="s">
        <v>242</v>
      </c>
    </row>
    <row r="312" spans="1:6" x14ac:dyDescent="0.25">
      <c r="A312" t="s">
        <v>50</v>
      </c>
      <c r="B312" s="20" t="s">
        <v>170</v>
      </c>
      <c r="C312" s="20">
        <v>21</v>
      </c>
      <c r="D312" s="20">
        <v>44.62</v>
      </c>
      <c r="E312" s="20" t="s">
        <v>242</v>
      </c>
    </row>
    <row r="313" spans="1:6" x14ac:dyDescent="0.25">
      <c r="A313" t="s">
        <v>50</v>
      </c>
      <c r="B313" s="20" t="s">
        <v>170</v>
      </c>
      <c r="C313" s="20">
        <v>22</v>
      </c>
      <c r="D313" s="20">
        <v>47.57</v>
      </c>
      <c r="E313" s="20" t="s">
        <v>242</v>
      </c>
    </row>
    <row r="314" spans="1:6" x14ac:dyDescent="0.25">
      <c r="A314" t="s">
        <v>50</v>
      </c>
      <c r="B314" s="20" t="s">
        <v>170</v>
      </c>
      <c r="C314" s="20">
        <v>23</v>
      </c>
      <c r="D314" s="20">
        <v>54.25</v>
      </c>
      <c r="E314" s="20" t="s">
        <v>242</v>
      </c>
    </row>
    <row r="315" spans="1:6" x14ac:dyDescent="0.25">
      <c r="A315" t="s">
        <v>50</v>
      </c>
      <c r="B315" s="20" t="s">
        <v>170</v>
      </c>
      <c r="C315" s="20">
        <v>24</v>
      </c>
      <c r="D315" s="20">
        <v>48.61</v>
      </c>
      <c r="E315" s="20" t="s">
        <v>242</v>
      </c>
    </row>
    <row r="316" spans="1:6" x14ac:dyDescent="0.25">
      <c r="A316" t="s">
        <v>50</v>
      </c>
      <c r="B316" s="20" t="s">
        <v>170</v>
      </c>
      <c r="C316" s="20">
        <v>26</v>
      </c>
      <c r="D316" s="20">
        <v>43.97</v>
      </c>
      <c r="E316" s="20" t="s">
        <v>242</v>
      </c>
    </row>
    <row r="317" spans="1:6" x14ac:dyDescent="0.25">
      <c r="A317" t="s">
        <v>50</v>
      </c>
      <c r="B317" s="20" t="s">
        <v>170</v>
      </c>
      <c r="C317" s="20">
        <v>27</v>
      </c>
      <c r="D317" s="20">
        <v>51.21</v>
      </c>
      <c r="E317" s="20" t="s">
        <v>242</v>
      </c>
    </row>
    <row r="318" spans="1:6" x14ac:dyDescent="0.25">
      <c r="A318" t="s">
        <v>50</v>
      </c>
      <c r="B318" s="20" t="s">
        <v>170</v>
      </c>
      <c r="C318" s="20">
        <v>28</v>
      </c>
      <c r="D318" s="20">
        <v>56.81</v>
      </c>
      <c r="E318" s="20" t="s">
        <v>242</v>
      </c>
    </row>
    <row r="319" spans="1:6" x14ac:dyDescent="0.25">
      <c r="A319" t="s">
        <v>50</v>
      </c>
      <c r="B319" s="20" t="s">
        <v>170</v>
      </c>
      <c r="C319" s="20" t="s">
        <v>186</v>
      </c>
      <c r="D319" s="20">
        <v>106.04</v>
      </c>
      <c r="E319" s="20" t="s">
        <v>242</v>
      </c>
    </row>
    <row r="320" spans="1:6" x14ac:dyDescent="0.25">
      <c r="A320" t="s">
        <v>226</v>
      </c>
      <c r="B320" t="s">
        <v>179</v>
      </c>
      <c r="C320">
        <v>1</v>
      </c>
      <c r="D320">
        <v>286.5</v>
      </c>
      <c r="E320">
        <v>1</v>
      </c>
      <c r="F320" s="19"/>
    </row>
    <row r="321" spans="1:6" x14ac:dyDescent="0.25">
      <c r="A321" t="s">
        <v>226</v>
      </c>
      <c r="B321" t="s">
        <v>179</v>
      </c>
      <c r="C321">
        <v>2</v>
      </c>
      <c r="D321">
        <v>263.3</v>
      </c>
      <c r="E321">
        <v>2</v>
      </c>
      <c r="F321" s="19"/>
    </row>
    <row r="322" spans="1:6" x14ac:dyDescent="0.25">
      <c r="A322" t="s">
        <v>226</v>
      </c>
      <c r="B322" t="s">
        <v>179</v>
      </c>
      <c r="C322">
        <v>3</v>
      </c>
      <c r="D322">
        <v>225.1</v>
      </c>
      <c r="E322">
        <v>3</v>
      </c>
      <c r="F322" s="19"/>
    </row>
    <row r="323" spans="1:6" x14ac:dyDescent="0.25">
      <c r="A323" t="s">
        <v>226</v>
      </c>
      <c r="B323" t="s">
        <v>179</v>
      </c>
      <c r="C323">
        <v>4</v>
      </c>
      <c r="D323">
        <v>212.2</v>
      </c>
      <c r="E323">
        <v>4</v>
      </c>
      <c r="F323" s="19"/>
    </row>
    <row r="324" spans="1:6" x14ac:dyDescent="0.25">
      <c r="A324" t="s">
        <v>226</v>
      </c>
      <c r="B324" t="s">
        <v>179</v>
      </c>
      <c r="C324">
        <v>5</v>
      </c>
      <c r="D324">
        <v>208.2</v>
      </c>
      <c r="E324">
        <v>5</v>
      </c>
      <c r="F324" s="19"/>
    </row>
    <row r="325" spans="1:6" x14ac:dyDescent="0.25">
      <c r="A325" t="s">
        <v>226</v>
      </c>
      <c r="B325" t="s">
        <v>179</v>
      </c>
      <c r="C325">
        <v>6</v>
      </c>
      <c r="D325">
        <v>192.2</v>
      </c>
      <c r="E325">
        <v>6</v>
      </c>
      <c r="F325" s="19"/>
    </row>
    <row r="326" spans="1:6" x14ac:dyDescent="0.25">
      <c r="A326" t="s">
        <v>226</v>
      </c>
      <c r="B326" t="s">
        <v>179</v>
      </c>
      <c r="C326">
        <v>7</v>
      </c>
      <c r="D326">
        <v>189</v>
      </c>
      <c r="E326">
        <v>7</v>
      </c>
      <c r="F326" s="19"/>
    </row>
    <row r="327" spans="1:6" x14ac:dyDescent="0.25">
      <c r="A327" t="s">
        <v>226</v>
      </c>
      <c r="B327" t="s">
        <v>179</v>
      </c>
      <c r="C327">
        <v>8</v>
      </c>
      <c r="D327">
        <v>173.3</v>
      </c>
      <c r="E327">
        <v>8</v>
      </c>
      <c r="F327" s="19"/>
    </row>
    <row r="328" spans="1:6" x14ac:dyDescent="0.25">
      <c r="A328" t="s">
        <v>226</v>
      </c>
      <c r="B328" t="s">
        <v>179</v>
      </c>
      <c r="C328">
        <v>9</v>
      </c>
      <c r="D328">
        <v>168.7</v>
      </c>
      <c r="E328">
        <v>9</v>
      </c>
      <c r="F328" s="19"/>
    </row>
    <row r="329" spans="1:6" x14ac:dyDescent="0.25">
      <c r="A329" t="s">
        <v>226</v>
      </c>
      <c r="B329" t="s">
        <v>179</v>
      </c>
      <c r="C329">
        <v>10</v>
      </c>
      <c r="D329">
        <v>173.5</v>
      </c>
      <c r="E329">
        <v>10</v>
      </c>
      <c r="F329" s="19"/>
    </row>
    <row r="330" spans="1:6" x14ac:dyDescent="0.25">
      <c r="A330" t="s">
        <v>226</v>
      </c>
      <c r="B330" t="s">
        <v>179</v>
      </c>
      <c r="C330">
        <v>11</v>
      </c>
      <c r="D330">
        <v>163.80000000000001</v>
      </c>
      <c r="E330">
        <v>11</v>
      </c>
      <c r="F330" s="19"/>
    </row>
    <row r="331" spans="1:6" x14ac:dyDescent="0.25">
      <c r="A331" t="s">
        <v>226</v>
      </c>
      <c r="B331" t="s">
        <v>179</v>
      </c>
      <c r="C331">
        <v>12</v>
      </c>
      <c r="D331">
        <v>174.2</v>
      </c>
      <c r="E331">
        <v>12</v>
      </c>
      <c r="F331" s="19"/>
    </row>
    <row r="332" spans="1:6" x14ac:dyDescent="0.25">
      <c r="A332" t="s">
        <v>226</v>
      </c>
      <c r="B332" t="s">
        <v>179</v>
      </c>
      <c r="C332">
        <v>13</v>
      </c>
      <c r="D332">
        <v>128.9</v>
      </c>
      <c r="E332">
        <v>13</v>
      </c>
    </row>
    <row r="333" spans="1:6" x14ac:dyDescent="0.25">
      <c r="A333" t="s">
        <v>226</v>
      </c>
      <c r="B333" t="s">
        <v>179</v>
      </c>
      <c r="C333">
        <v>14</v>
      </c>
      <c r="D333">
        <v>123.8</v>
      </c>
      <c r="E333">
        <v>14</v>
      </c>
    </row>
    <row r="334" spans="1:6" x14ac:dyDescent="0.25">
      <c r="A334" t="s">
        <v>226</v>
      </c>
      <c r="B334" t="s">
        <v>179</v>
      </c>
      <c r="C334">
        <v>15</v>
      </c>
      <c r="D334">
        <v>130.19999999999999</v>
      </c>
      <c r="E334">
        <v>15</v>
      </c>
    </row>
    <row r="335" spans="1:6" x14ac:dyDescent="0.25">
      <c r="A335" t="s">
        <v>226</v>
      </c>
      <c r="B335" t="s">
        <v>179</v>
      </c>
      <c r="C335">
        <v>16</v>
      </c>
      <c r="D335">
        <v>134.19999999999999</v>
      </c>
      <c r="E335">
        <v>16</v>
      </c>
    </row>
    <row r="336" spans="1:6" x14ac:dyDescent="0.25">
      <c r="A336" t="s">
        <v>226</v>
      </c>
      <c r="B336" t="s">
        <v>179</v>
      </c>
      <c r="C336">
        <v>17</v>
      </c>
      <c r="D336">
        <v>137.5</v>
      </c>
      <c r="E336">
        <v>17</v>
      </c>
    </row>
    <row r="337" spans="1:5" x14ac:dyDescent="0.25">
      <c r="A337" t="s">
        <v>226</v>
      </c>
      <c r="B337" t="s">
        <v>179</v>
      </c>
      <c r="C337">
        <v>18</v>
      </c>
      <c r="D337">
        <v>124.2</v>
      </c>
      <c r="E337">
        <v>18</v>
      </c>
    </row>
    <row r="338" spans="1:5" x14ac:dyDescent="0.25">
      <c r="A338" t="s">
        <v>226</v>
      </c>
      <c r="B338" t="s">
        <v>179</v>
      </c>
      <c r="C338">
        <v>19</v>
      </c>
      <c r="D338">
        <v>112.2</v>
      </c>
      <c r="E338">
        <v>19</v>
      </c>
    </row>
    <row r="339" spans="1:5" x14ac:dyDescent="0.25">
      <c r="A339" t="s">
        <v>226</v>
      </c>
      <c r="B339" t="s">
        <v>179</v>
      </c>
      <c r="C339">
        <v>20</v>
      </c>
      <c r="D339">
        <v>102.5</v>
      </c>
      <c r="E339">
        <v>20</v>
      </c>
    </row>
    <row r="340" spans="1:5" x14ac:dyDescent="0.25">
      <c r="A340" t="s">
        <v>226</v>
      </c>
      <c r="B340" t="s">
        <v>179</v>
      </c>
      <c r="C340">
        <v>21</v>
      </c>
      <c r="D340">
        <v>68.5</v>
      </c>
      <c r="E340">
        <v>21</v>
      </c>
    </row>
    <row r="341" spans="1:5" x14ac:dyDescent="0.25">
      <c r="A341" t="s">
        <v>226</v>
      </c>
      <c r="B341" t="s">
        <v>179</v>
      </c>
      <c r="C341">
        <v>22</v>
      </c>
      <c r="D341">
        <v>86.1</v>
      </c>
      <c r="E341">
        <v>22</v>
      </c>
    </row>
    <row r="342" spans="1:5" x14ac:dyDescent="0.25">
      <c r="A342" t="s">
        <v>226</v>
      </c>
      <c r="B342" t="s">
        <v>179</v>
      </c>
      <c r="C342" t="s">
        <v>181</v>
      </c>
      <c r="D342">
        <v>184.8</v>
      </c>
      <c r="E342" t="s">
        <v>181</v>
      </c>
    </row>
    <row r="343" spans="1:5" x14ac:dyDescent="0.25">
      <c r="A343" t="s">
        <v>51</v>
      </c>
      <c r="B343" t="s">
        <v>180</v>
      </c>
      <c r="C343" t="s">
        <v>181</v>
      </c>
      <c r="D343" s="22">
        <f>AVERAGE(71.8,66.2,56.4,63.4,67.5,66.6,73,57.7)</f>
        <v>65.325000000000003</v>
      </c>
      <c r="E343" t="s">
        <v>181</v>
      </c>
    </row>
    <row r="344" spans="1:5" x14ac:dyDescent="0.25">
      <c r="A344" t="s">
        <v>51</v>
      </c>
      <c r="B344" t="s">
        <v>180</v>
      </c>
      <c r="C344" t="s">
        <v>234</v>
      </c>
      <c r="D344">
        <f>AVERAGE(49.8, 55.8, 64.9, 62.5, 55.6, 52.4, 55.9, 57.5)</f>
        <v>56.8</v>
      </c>
      <c r="E344" t="s">
        <v>234</v>
      </c>
    </row>
    <row r="345" spans="1:5" x14ac:dyDescent="0.25">
      <c r="A345" t="s">
        <v>51</v>
      </c>
      <c r="B345" t="s">
        <v>180</v>
      </c>
      <c r="C345" t="s">
        <v>235</v>
      </c>
      <c r="D345" s="22">
        <f>AVERAGE(45.8, 53.8, 60, 51.4, 49, 55, 58.6, 59.3)</f>
        <v>54.112500000000004</v>
      </c>
      <c r="E345" t="s">
        <v>235</v>
      </c>
    </row>
    <row r="346" spans="1:5" x14ac:dyDescent="0.25">
      <c r="A346" t="s">
        <v>51</v>
      </c>
      <c r="B346" t="s">
        <v>180</v>
      </c>
      <c r="C346" t="s">
        <v>236</v>
      </c>
      <c r="D346" s="22">
        <f>AVERAGE(54.9, 52.7, 49.9, 51.8, 55.9, 50.3, 53.4, 53.9)</f>
        <v>52.849999999999994</v>
      </c>
      <c r="E346" t="s">
        <v>236</v>
      </c>
    </row>
    <row r="347" spans="1:5" x14ac:dyDescent="0.25">
      <c r="A347" t="s">
        <v>51</v>
      </c>
      <c r="B347" t="s">
        <v>180</v>
      </c>
      <c r="C347" t="s">
        <v>237</v>
      </c>
      <c r="D347" s="22">
        <f>AVERAGE(47.6, 60.8, 56.7, 61.3, 56.2, 66.5)</f>
        <v>58.183333333333337</v>
      </c>
      <c r="E347" t="s">
        <v>237</v>
      </c>
    </row>
    <row r="348" spans="1:5" x14ac:dyDescent="0.25">
      <c r="A348" s="21" t="s">
        <v>54</v>
      </c>
      <c r="B348" s="21" t="s">
        <v>53</v>
      </c>
      <c r="C348">
        <v>1</v>
      </c>
      <c r="D348">
        <v>172</v>
      </c>
      <c r="E348">
        <v>1</v>
      </c>
    </row>
    <row r="349" spans="1:5" x14ac:dyDescent="0.25">
      <c r="A349" s="21" t="s">
        <v>54</v>
      </c>
      <c r="B349" s="21" t="s">
        <v>53</v>
      </c>
      <c r="C349">
        <v>2</v>
      </c>
      <c r="D349">
        <v>115</v>
      </c>
      <c r="E349">
        <v>2</v>
      </c>
    </row>
    <row r="350" spans="1:5" x14ac:dyDescent="0.25">
      <c r="A350" s="21" t="s">
        <v>54</v>
      </c>
      <c r="B350" s="21" t="s">
        <v>53</v>
      </c>
      <c r="C350">
        <v>3</v>
      </c>
      <c r="D350">
        <v>164</v>
      </c>
      <c r="E350">
        <v>3</v>
      </c>
    </row>
    <row r="351" spans="1:5" x14ac:dyDescent="0.25">
      <c r="A351" s="21" t="s">
        <v>54</v>
      </c>
      <c r="B351" s="21" t="s">
        <v>53</v>
      </c>
      <c r="C351">
        <v>4</v>
      </c>
      <c r="D351">
        <v>111</v>
      </c>
      <c r="E351">
        <v>4</v>
      </c>
    </row>
    <row r="352" spans="1:5" x14ac:dyDescent="0.25">
      <c r="A352" s="21" t="s">
        <v>54</v>
      </c>
      <c r="B352" s="21" t="s">
        <v>53</v>
      </c>
      <c r="C352">
        <v>5</v>
      </c>
      <c r="D352" s="23">
        <v>133</v>
      </c>
      <c r="E352">
        <v>5</v>
      </c>
    </row>
    <row r="353" spans="1:5" x14ac:dyDescent="0.25">
      <c r="A353" s="21" t="s">
        <v>54</v>
      </c>
      <c r="B353" s="21" t="s">
        <v>53</v>
      </c>
      <c r="C353">
        <v>6</v>
      </c>
      <c r="D353">
        <v>113</v>
      </c>
      <c r="E353">
        <v>6</v>
      </c>
    </row>
    <row r="354" spans="1:5" x14ac:dyDescent="0.25">
      <c r="A354" s="21" t="s">
        <v>54</v>
      </c>
      <c r="B354" s="21" t="s">
        <v>53</v>
      </c>
      <c r="C354">
        <v>7</v>
      </c>
      <c r="D354">
        <v>116</v>
      </c>
      <c r="E354">
        <v>7</v>
      </c>
    </row>
    <row r="355" spans="1:5" x14ac:dyDescent="0.25">
      <c r="A355" s="21" t="s">
        <v>54</v>
      </c>
      <c r="B355" s="21" t="s">
        <v>53</v>
      </c>
      <c r="C355">
        <v>8</v>
      </c>
      <c r="D355">
        <v>93</v>
      </c>
      <c r="E355">
        <v>8</v>
      </c>
    </row>
    <row r="356" spans="1:5" x14ac:dyDescent="0.25">
      <c r="A356" s="21" t="s">
        <v>54</v>
      </c>
      <c r="B356" s="21" t="s">
        <v>53</v>
      </c>
      <c r="C356">
        <v>9</v>
      </c>
      <c r="D356">
        <v>91</v>
      </c>
      <c r="E356">
        <v>9</v>
      </c>
    </row>
    <row r="357" spans="1:5" x14ac:dyDescent="0.25">
      <c r="A357" s="21" t="s">
        <v>54</v>
      </c>
      <c r="B357" s="21" t="s">
        <v>53</v>
      </c>
      <c r="C357">
        <v>10</v>
      </c>
      <c r="D357">
        <v>89</v>
      </c>
      <c r="E357">
        <v>10</v>
      </c>
    </row>
    <row r="358" spans="1:5" x14ac:dyDescent="0.25">
      <c r="A358" s="21" t="s">
        <v>54</v>
      </c>
      <c r="B358" s="21" t="s">
        <v>53</v>
      </c>
      <c r="C358">
        <v>11</v>
      </c>
      <c r="D358">
        <v>88</v>
      </c>
      <c r="E358">
        <v>11</v>
      </c>
    </row>
    <row r="359" spans="1:5" x14ac:dyDescent="0.25">
      <c r="A359" s="21" t="s">
        <v>54</v>
      </c>
      <c r="B359" s="21" t="s">
        <v>53</v>
      </c>
      <c r="C359">
        <v>12</v>
      </c>
      <c r="D359" s="23">
        <v>136</v>
      </c>
      <c r="E359">
        <v>12</v>
      </c>
    </row>
    <row r="360" spans="1:5" x14ac:dyDescent="0.25">
      <c r="A360" s="21" t="s">
        <v>54</v>
      </c>
      <c r="B360" s="21" t="s">
        <v>53</v>
      </c>
      <c r="C360">
        <v>13</v>
      </c>
      <c r="D360">
        <v>76</v>
      </c>
      <c r="E360">
        <v>13</v>
      </c>
    </row>
    <row r="361" spans="1:5" x14ac:dyDescent="0.25">
      <c r="A361" s="21" t="s">
        <v>54</v>
      </c>
      <c r="B361" s="21" t="s">
        <v>53</v>
      </c>
      <c r="C361">
        <v>14</v>
      </c>
      <c r="D361">
        <v>126</v>
      </c>
      <c r="E361">
        <v>14</v>
      </c>
    </row>
    <row r="362" spans="1:5" x14ac:dyDescent="0.25">
      <c r="A362" s="21" t="s">
        <v>54</v>
      </c>
      <c r="B362" s="21" t="s">
        <v>53</v>
      </c>
      <c r="C362">
        <v>15</v>
      </c>
      <c r="D362">
        <v>77</v>
      </c>
      <c r="E362">
        <v>15</v>
      </c>
    </row>
    <row r="363" spans="1:5" x14ac:dyDescent="0.25">
      <c r="A363" s="21" t="s">
        <v>54</v>
      </c>
      <c r="B363" s="21" t="s">
        <v>53</v>
      </c>
      <c r="C363">
        <v>16</v>
      </c>
      <c r="D363">
        <v>77</v>
      </c>
      <c r="E363">
        <v>16</v>
      </c>
    </row>
    <row r="364" spans="1:5" x14ac:dyDescent="0.25">
      <c r="A364" s="21" t="s">
        <v>54</v>
      </c>
      <c r="B364" s="21" t="s">
        <v>53</v>
      </c>
      <c r="C364">
        <v>17</v>
      </c>
      <c r="D364">
        <v>69</v>
      </c>
      <c r="E364">
        <v>17</v>
      </c>
    </row>
    <row r="365" spans="1:5" x14ac:dyDescent="0.25">
      <c r="A365" s="21" t="s">
        <v>54</v>
      </c>
      <c r="B365" s="21" t="s">
        <v>53</v>
      </c>
      <c r="C365">
        <v>18</v>
      </c>
      <c r="D365" s="23">
        <v>98</v>
      </c>
      <c r="E365">
        <v>18</v>
      </c>
    </row>
    <row r="366" spans="1:5" x14ac:dyDescent="0.25">
      <c r="A366" s="21" t="s">
        <v>54</v>
      </c>
      <c r="B366" s="21" t="s">
        <v>53</v>
      </c>
      <c r="C366">
        <v>19</v>
      </c>
      <c r="D366">
        <v>63</v>
      </c>
      <c r="E366">
        <v>19</v>
      </c>
    </row>
    <row r="367" spans="1:5" x14ac:dyDescent="0.25">
      <c r="A367" s="21" t="s">
        <v>54</v>
      </c>
      <c r="B367" s="21" t="s">
        <v>53</v>
      </c>
      <c r="C367" t="s">
        <v>181</v>
      </c>
      <c r="D367">
        <v>84</v>
      </c>
      <c r="E367" t="s">
        <v>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B87A-7C2E-4E1C-A9C7-16D96D827ED3}">
  <dimension ref="A1:G17"/>
  <sheetViews>
    <sheetView workbookViewId="0">
      <selection activeCell="B17" sqref="B17"/>
    </sheetView>
  </sheetViews>
  <sheetFormatPr defaultRowHeight="15" x14ac:dyDescent="0.25"/>
  <cols>
    <col min="1" max="1" width="12.5703125" bestFit="1" customWidth="1"/>
    <col min="2" max="2" width="23.5703125" bestFit="1" customWidth="1"/>
    <col min="3" max="3" width="15.140625" bestFit="1" customWidth="1"/>
    <col min="4" max="5" width="18.140625" bestFit="1" customWidth="1"/>
    <col min="6" max="6" width="15.140625" bestFit="1" customWidth="1"/>
    <col min="7" max="7" width="9.28515625" bestFit="1" customWidth="1"/>
  </cols>
  <sheetData>
    <row r="1" spans="1:7" x14ac:dyDescent="0.25">
      <c r="A1" t="s">
        <v>7</v>
      </c>
      <c r="B1" t="s">
        <v>172</v>
      </c>
      <c r="C1" t="s">
        <v>173</v>
      </c>
      <c r="D1" t="s">
        <v>174</v>
      </c>
      <c r="E1" t="s">
        <v>175</v>
      </c>
      <c r="F1" t="s">
        <v>176</v>
      </c>
      <c r="G1" t="s">
        <v>177</v>
      </c>
    </row>
    <row r="2" spans="1:7" x14ac:dyDescent="0.25">
      <c r="A2" t="s">
        <v>8</v>
      </c>
      <c r="B2" t="s">
        <v>178</v>
      </c>
      <c r="C2">
        <v>0.12</v>
      </c>
      <c r="D2">
        <v>0.08</v>
      </c>
      <c r="E2">
        <v>0.15</v>
      </c>
      <c r="F2">
        <v>1</v>
      </c>
      <c r="G2">
        <v>26</v>
      </c>
    </row>
    <row r="3" spans="1:7" x14ac:dyDescent="0.25">
      <c r="A3" t="s">
        <v>9</v>
      </c>
      <c r="B3" t="s">
        <v>164</v>
      </c>
      <c r="C3">
        <v>0.09</v>
      </c>
      <c r="D3">
        <v>0.05</v>
      </c>
      <c r="E3">
        <v>0.12</v>
      </c>
      <c r="F3">
        <v>0.8</v>
      </c>
      <c r="G3">
        <v>26</v>
      </c>
    </row>
    <row r="4" spans="1:7" x14ac:dyDescent="0.25">
      <c r="A4" t="s">
        <v>10</v>
      </c>
      <c r="B4" t="s">
        <v>30</v>
      </c>
      <c r="G4">
        <v>34</v>
      </c>
    </row>
    <row r="5" spans="1:7" x14ac:dyDescent="0.25">
      <c r="A5" t="s">
        <v>11</v>
      </c>
      <c r="B5" t="s">
        <v>165</v>
      </c>
      <c r="G5">
        <v>32</v>
      </c>
    </row>
    <row r="6" spans="1:7" x14ac:dyDescent="0.25">
      <c r="A6" t="s">
        <v>12</v>
      </c>
      <c r="B6" t="s">
        <v>165</v>
      </c>
      <c r="G6">
        <v>32</v>
      </c>
    </row>
    <row r="7" spans="1:7" x14ac:dyDescent="0.25">
      <c r="A7" t="s">
        <v>14</v>
      </c>
      <c r="B7" t="s">
        <v>166</v>
      </c>
      <c r="G7">
        <v>30</v>
      </c>
    </row>
    <row r="8" spans="1:7" x14ac:dyDescent="0.25">
      <c r="A8" t="s">
        <v>16</v>
      </c>
      <c r="B8" t="s">
        <v>167</v>
      </c>
      <c r="G8">
        <v>39</v>
      </c>
    </row>
    <row r="9" spans="1:7" x14ac:dyDescent="0.25">
      <c r="A9" t="s">
        <v>18</v>
      </c>
      <c r="B9" t="s">
        <v>168</v>
      </c>
      <c r="G9">
        <v>40</v>
      </c>
    </row>
    <row r="10" spans="1:7" x14ac:dyDescent="0.25">
      <c r="A10" t="s">
        <v>20</v>
      </c>
      <c r="B10" t="s">
        <v>167</v>
      </c>
      <c r="G10">
        <v>39</v>
      </c>
    </row>
    <row r="11" spans="1:7" x14ac:dyDescent="0.25">
      <c r="A11" t="s">
        <v>34</v>
      </c>
      <c r="B11" t="s">
        <v>167</v>
      </c>
      <c r="G11">
        <v>39</v>
      </c>
    </row>
    <row r="12" spans="1:7" x14ac:dyDescent="0.25">
      <c r="A12" t="s">
        <v>22</v>
      </c>
      <c r="B12" t="s">
        <v>169</v>
      </c>
      <c r="G12">
        <v>22</v>
      </c>
    </row>
    <row r="13" spans="1:7" x14ac:dyDescent="0.25">
      <c r="A13" t="s">
        <v>24</v>
      </c>
      <c r="B13" t="s">
        <v>170</v>
      </c>
      <c r="G13">
        <v>28</v>
      </c>
    </row>
    <row r="14" spans="1:7" x14ac:dyDescent="0.25">
      <c r="A14" t="s">
        <v>26</v>
      </c>
      <c r="B14" t="s">
        <v>31</v>
      </c>
      <c r="G14">
        <v>28</v>
      </c>
    </row>
    <row r="15" spans="1:7" x14ac:dyDescent="0.25">
      <c r="A15" t="s">
        <v>28</v>
      </c>
      <c r="B15" t="s">
        <v>170</v>
      </c>
      <c r="G15">
        <v>28</v>
      </c>
    </row>
    <row r="16" spans="1:7" x14ac:dyDescent="0.25">
      <c r="A16" t="s">
        <v>50</v>
      </c>
      <c r="B16" t="s">
        <v>179</v>
      </c>
      <c r="G16">
        <v>22</v>
      </c>
    </row>
    <row r="17" spans="1:2" x14ac:dyDescent="0.25">
      <c r="A17" t="s">
        <v>51</v>
      </c>
      <c r="B17" t="s">
        <v>180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1F291-EF35-47EF-9F4F-BBAD5DACDC0B}">
  <dimension ref="A1:H64"/>
  <sheetViews>
    <sheetView topLeftCell="A40" workbookViewId="0">
      <selection activeCell="C27" sqref="C27"/>
    </sheetView>
  </sheetViews>
  <sheetFormatPr defaultRowHeight="15" x14ac:dyDescent="0.25"/>
  <cols>
    <col min="2" max="2" width="24.85546875" customWidth="1"/>
    <col min="3" max="3" width="19.5703125" customWidth="1"/>
    <col min="4" max="4" width="10.42578125" customWidth="1"/>
    <col min="5" max="5" width="19.140625" customWidth="1"/>
    <col min="6" max="6" width="10.42578125" customWidth="1"/>
    <col min="7" max="7" width="17.7109375" customWidth="1"/>
    <col min="8" max="8" width="15.28515625" customWidth="1"/>
  </cols>
  <sheetData>
    <row r="1" spans="1:8" ht="23.25" x14ac:dyDescent="0.35">
      <c r="A1" s="7" t="s">
        <v>63</v>
      </c>
    </row>
    <row r="4" spans="1:8" x14ac:dyDescent="0.25">
      <c r="A4" t="s">
        <v>82</v>
      </c>
    </row>
    <row r="5" spans="1:8" x14ac:dyDescent="0.25">
      <c r="A5" t="s">
        <v>64</v>
      </c>
    </row>
    <row r="6" spans="1:8" x14ac:dyDescent="0.25">
      <c r="A6" t="s">
        <v>90</v>
      </c>
    </row>
    <row r="7" spans="1:8" x14ac:dyDescent="0.25">
      <c r="A7" t="s">
        <v>81</v>
      </c>
    </row>
    <row r="8" spans="1:8" x14ac:dyDescent="0.25">
      <c r="A8" t="s">
        <v>85</v>
      </c>
    </row>
    <row r="9" spans="1:8" x14ac:dyDescent="0.25">
      <c r="A9" t="s">
        <v>65</v>
      </c>
    </row>
    <row r="10" spans="1:8" s="8" customFormat="1" ht="60" x14ac:dyDescent="0.25">
      <c r="A10" s="9" t="s">
        <v>67</v>
      </c>
      <c r="B10" s="9" t="s">
        <v>68</v>
      </c>
      <c r="C10" s="9" t="s">
        <v>76</v>
      </c>
      <c r="D10" s="9" t="s">
        <v>69</v>
      </c>
      <c r="E10" s="9" t="s">
        <v>80</v>
      </c>
      <c r="F10" s="9" t="s">
        <v>70</v>
      </c>
      <c r="G10"/>
      <c r="H10"/>
    </row>
    <row r="11" spans="1:8" s="8" customFormat="1" ht="45" x14ac:dyDescent="0.25">
      <c r="A11" s="8" t="s">
        <v>66</v>
      </c>
      <c r="B11" s="8" t="s">
        <v>71</v>
      </c>
      <c r="C11" s="8">
        <v>353</v>
      </c>
      <c r="D11" s="8" t="s">
        <v>77</v>
      </c>
      <c r="E11" s="8" t="s">
        <v>86</v>
      </c>
      <c r="F11" s="8" t="s">
        <v>83</v>
      </c>
    </row>
    <row r="12" spans="1:8" s="8" customFormat="1" ht="30" x14ac:dyDescent="0.25">
      <c r="A12" s="8" t="s">
        <v>72</v>
      </c>
      <c r="B12" s="8" t="s">
        <v>73</v>
      </c>
      <c r="C12" s="8">
        <v>459</v>
      </c>
      <c r="D12" s="8" t="s">
        <v>78</v>
      </c>
      <c r="E12" s="8" t="s">
        <v>87</v>
      </c>
      <c r="F12" s="8" t="s">
        <v>84</v>
      </c>
    </row>
    <row r="13" spans="1:8" ht="30" x14ac:dyDescent="0.25">
      <c r="A13" s="8" t="s">
        <v>74</v>
      </c>
      <c r="B13" s="8" t="s">
        <v>75</v>
      </c>
      <c r="C13" s="8">
        <v>353</v>
      </c>
      <c r="D13" s="8" t="s">
        <v>79</v>
      </c>
      <c r="E13" s="8" t="s">
        <v>88</v>
      </c>
      <c r="F13" s="8" t="s">
        <v>88</v>
      </c>
    </row>
    <row r="16" spans="1:8" x14ac:dyDescent="0.25">
      <c r="A16" s="10" t="s">
        <v>89</v>
      </c>
    </row>
    <row r="17" spans="1:7" x14ac:dyDescent="0.25">
      <c r="A17" t="s">
        <v>96</v>
      </c>
    </row>
    <row r="18" spans="1:7" x14ac:dyDescent="0.25">
      <c r="A18" t="s">
        <v>95</v>
      </c>
    </row>
    <row r="19" spans="1:7" x14ac:dyDescent="0.25">
      <c r="A19" t="s">
        <v>98</v>
      </c>
    </row>
    <row r="20" spans="1:7" ht="30" x14ac:dyDescent="0.25">
      <c r="A20" s="9" t="s">
        <v>67</v>
      </c>
      <c r="B20" s="9" t="s">
        <v>68</v>
      </c>
      <c r="C20" s="9" t="s">
        <v>76</v>
      </c>
      <c r="D20" s="9" t="s">
        <v>69</v>
      </c>
      <c r="E20" s="9" t="s">
        <v>93</v>
      </c>
      <c r="F20" s="9" t="s">
        <v>106</v>
      </c>
    </row>
    <row r="21" spans="1:7" x14ac:dyDescent="0.25">
      <c r="A21" s="8" t="s">
        <v>91</v>
      </c>
      <c r="B21" s="8" t="s">
        <v>97</v>
      </c>
      <c r="C21" s="8">
        <v>7669</v>
      </c>
      <c r="D21" s="8" t="s">
        <v>92</v>
      </c>
      <c r="E21" s="8"/>
    </row>
    <row r="22" spans="1:7" ht="60" x14ac:dyDescent="0.25">
      <c r="A22" s="8" t="s">
        <v>94</v>
      </c>
      <c r="B22" s="8" t="s">
        <v>99</v>
      </c>
      <c r="C22" s="8">
        <v>7669</v>
      </c>
      <c r="D22" s="8"/>
      <c r="E22" s="8" t="s">
        <v>100</v>
      </c>
      <c r="F22" s="8" t="s">
        <v>107</v>
      </c>
    </row>
    <row r="23" spans="1:7" x14ac:dyDescent="0.25">
      <c r="A23" s="8"/>
      <c r="B23" s="8"/>
      <c r="C23" s="8"/>
      <c r="D23" s="8"/>
      <c r="E23" s="8"/>
    </row>
    <row r="25" spans="1:7" x14ac:dyDescent="0.25">
      <c r="A25" s="10" t="s">
        <v>101</v>
      </c>
    </row>
    <row r="26" spans="1:7" x14ac:dyDescent="0.25">
      <c r="A26" t="s">
        <v>102</v>
      </c>
    </row>
    <row r="27" spans="1:7" x14ac:dyDescent="0.25">
      <c r="A27" t="s">
        <v>117</v>
      </c>
    </row>
    <row r="29" spans="1:7" ht="30" x14ac:dyDescent="0.25">
      <c r="A29" s="9" t="s">
        <v>67</v>
      </c>
      <c r="B29" s="9" t="s">
        <v>68</v>
      </c>
      <c r="C29" s="9" t="s">
        <v>76</v>
      </c>
      <c r="D29" s="9" t="s">
        <v>112</v>
      </c>
      <c r="E29" s="9" t="s">
        <v>108</v>
      </c>
      <c r="F29" s="9" t="s">
        <v>110</v>
      </c>
      <c r="G29" s="9" t="s">
        <v>111</v>
      </c>
    </row>
    <row r="30" spans="1:7" ht="90" x14ac:dyDescent="0.25">
      <c r="A30" s="8" t="s">
        <v>91</v>
      </c>
      <c r="B30" s="8" t="s">
        <v>104</v>
      </c>
      <c r="C30" s="11">
        <v>12391</v>
      </c>
      <c r="D30" s="8">
        <v>0.71</v>
      </c>
      <c r="E30" s="8" t="s">
        <v>109</v>
      </c>
      <c r="F30">
        <v>3.9800000000000002E-2</v>
      </c>
      <c r="G30">
        <v>1.21543</v>
      </c>
    </row>
    <row r="31" spans="1:7" ht="60" x14ac:dyDescent="0.25">
      <c r="A31" s="8" t="s">
        <v>103</v>
      </c>
      <c r="B31" s="8" t="s">
        <v>105</v>
      </c>
      <c r="C31" s="11">
        <v>12391</v>
      </c>
      <c r="D31" s="8">
        <v>1.82</v>
      </c>
      <c r="E31" s="8" t="s">
        <v>113</v>
      </c>
      <c r="F31" s="8">
        <v>8.5389999999999994E-2</v>
      </c>
      <c r="G31" s="8">
        <v>3.7528000000000001</v>
      </c>
    </row>
    <row r="34" spans="1:7" x14ac:dyDescent="0.25">
      <c r="A34" s="10" t="s">
        <v>114</v>
      </c>
    </row>
    <row r="35" spans="1:7" x14ac:dyDescent="0.25">
      <c r="A35" t="s">
        <v>115</v>
      </c>
    </row>
    <row r="36" spans="1:7" x14ac:dyDescent="0.25">
      <c r="A36" t="s">
        <v>116</v>
      </c>
    </row>
    <row r="37" spans="1:7" x14ac:dyDescent="0.25">
      <c r="A37" t="s">
        <v>118</v>
      </c>
    </row>
    <row r="38" spans="1:7" x14ac:dyDescent="0.25">
      <c r="A38" t="s">
        <v>146</v>
      </c>
    </row>
    <row r="39" spans="1:7" x14ac:dyDescent="0.25">
      <c r="A39" t="s">
        <v>127</v>
      </c>
    </row>
    <row r="40" spans="1:7" ht="30" x14ac:dyDescent="0.25">
      <c r="A40" s="9" t="s">
        <v>67</v>
      </c>
      <c r="B40" s="9" t="s">
        <v>68</v>
      </c>
      <c r="C40" s="9" t="s">
        <v>76</v>
      </c>
      <c r="D40" s="9" t="s">
        <v>69</v>
      </c>
      <c r="E40" s="9" t="s">
        <v>108</v>
      </c>
      <c r="F40" s="9" t="s">
        <v>110</v>
      </c>
      <c r="G40" s="9" t="s">
        <v>111</v>
      </c>
    </row>
    <row r="41" spans="1:7" x14ac:dyDescent="0.25">
      <c r="A41" s="8" t="s">
        <v>120</v>
      </c>
      <c r="B41" s="8"/>
      <c r="C41" s="11">
        <v>261</v>
      </c>
      <c r="D41" s="8" t="s">
        <v>121</v>
      </c>
      <c r="E41" s="8" t="s">
        <v>124</v>
      </c>
      <c r="F41">
        <v>7.4999999999999997E-2</v>
      </c>
      <c r="G41">
        <v>0.16600000000000001</v>
      </c>
    </row>
    <row r="42" spans="1:7" x14ac:dyDescent="0.25">
      <c r="A42" s="8" t="s">
        <v>91</v>
      </c>
      <c r="B42" s="8"/>
      <c r="C42" s="11">
        <v>263</v>
      </c>
      <c r="D42" s="8" t="s">
        <v>122</v>
      </c>
      <c r="E42" s="8" t="s">
        <v>125</v>
      </c>
      <c r="F42">
        <v>1.81</v>
      </c>
      <c r="G42">
        <v>6.92</v>
      </c>
    </row>
    <row r="43" spans="1:7" ht="30" x14ac:dyDescent="0.25">
      <c r="A43" s="8" t="s">
        <v>119</v>
      </c>
      <c r="B43" s="8"/>
      <c r="C43" s="11">
        <v>261</v>
      </c>
      <c r="D43" s="8" t="s">
        <v>123</v>
      </c>
      <c r="E43" s="8" t="s">
        <v>126</v>
      </c>
      <c r="F43" s="8">
        <v>4.04</v>
      </c>
      <c r="G43" s="8">
        <v>12.653</v>
      </c>
    </row>
    <row r="46" spans="1:7" x14ac:dyDescent="0.25">
      <c r="A46" s="10" t="s">
        <v>128</v>
      </c>
    </row>
    <row r="47" spans="1:7" x14ac:dyDescent="0.25">
      <c r="A47" t="s">
        <v>135</v>
      </c>
    </row>
    <row r="48" spans="1:7" x14ac:dyDescent="0.25">
      <c r="A48" t="s">
        <v>131</v>
      </c>
    </row>
    <row r="49" spans="1:7" x14ac:dyDescent="0.25">
      <c r="A49" t="s">
        <v>132</v>
      </c>
    </row>
    <row r="50" spans="1:7" x14ac:dyDescent="0.25">
      <c r="A50" t="s">
        <v>139</v>
      </c>
    </row>
    <row r="51" spans="1:7" x14ac:dyDescent="0.25">
      <c r="A51" t="s">
        <v>133</v>
      </c>
    </row>
    <row r="52" spans="1:7" ht="45" x14ac:dyDescent="0.25">
      <c r="A52" s="9" t="s">
        <v>67</v>
      </c>
      <c r="B52" s="9" t="s">
        <v>68</v>
      </c>
      <c r="C52" s="9" t="s">
        <v>76</v>
      </c>
      <c r="D52" s="9" t="s">
        <v>69</v>
      </c>
      <c r="E52" s="9" t="s">
        <v>140</v>
      </c>
      <c r="F52" s="9" t="s">
        <v>141</v>
      </c>
      <c r="G52" s="9" t="s">
        <v>144</v>
      </c>
    </row>
    <row r="53" spans="1:7" ht="90" x14ac:dyDescent="0.25">
      <c r="A53" s="8" t="s">
        <v>129</v>
      </c>
      <c r="B53" s="8" t="s">
        <v>130</v>
      </c>
      <c r="C53" s="11">
        <v>2322</v>
      </c>
      <c r="D53" s="8" t="s">
        <v>134</v>
      </c>
      <c r="E53" s="8" t="s">
        <v>142</v>
      </c>
      <c r="F53">
        <v>92.16</v>
      </c>
      <c r="G53" s="8" t="s">
        <v>154</v>
      </c>
    </row>
    <row r="54" spans="1:7" ht="45" x14ac:dyDescent="0.25">
      <c r="A54" s="8" t="s">
        <v>136</v>
      </c>
      <c r="B54" s="8" t="s">
        <v>137</v>
      </c>
      <c r="C54" s="11">
        <v>2322</v>
      </c>
      <c r="D54" s="8" t="s">
        <v>138</v>
      </c>
      <c r="E54" s="8" t="s">
        <v>143</v>
      </c>
      <c r="F54">
        <v>0.09</v>
      </c>
      <c r="G54" t="s">
        <v>145</v>
      </c>
    </row>
    <row r="55" spans="1:7" x14ac:dyDescent="0.25">
      <c r="A55" s="8"/>
      <c r="B55" s="8"/>
      <c r="C55" s="11"/>
      <c r="D55" s="8"/>
      <c r="E55" s="8"/>
      <c r="F55" s="8"/>
      <c r="G55" s="8"/>
    </row>
    <row r="57" spans="1:7" x14ac:dyDescent="0.25">
      <c r="A57" s="10" t="s">
        <v>147</v>
      </c>
    </row>
    <row r="58" spans="1:7" x14ac:dyDescent="0.25">
      <c r="A58" t="s">
        <v>148</v>
      </c>
    </row>
    <row r="59" spans="1:7" x14ac:dyDescent="0.25">
      <c r="A59" t="s">
        <v>131</v>
      </c>
    </row>
    <row r="60" spans="1:7" x14ac:dyDescent="0.25">
      <c r="A60" t="s">
        <v>149</v>
      </c>
    </row>
    <row r="61" spans="1:7" x14ac:dyDescent="0.25">
      <c r="A61" t="s">
        <v>150</v>
      </c>
    </row>
    <row r="62" spans="1:7" x14ac:dyDescent="0.25">
      <c r="A62" t="s">
        <v>133</v>
      </c>
    </row>
    <row r="63" spans="1:7" ht="45" x14ac:dyDescent="0.25">
      <c r="A63" s="9" t="s">
        <v>67</v>
      </c>
      <c r="B63" s="9" t="s">
        <v>68</v>
      </c>
      <c r="C63" s="9" t="s">
        <v>76</v>
      </c>
      <c r="D63" s="9" t="s">
        <v>69</v>
      </c>
      <c r="E63" s="9" t="s">
        <v>140</v>
      </c>
      <c r="F63" s="9" t="s">
        <v>141</v>
      </c>
      <c r="G63" s="9" t="s">
        <v>144</v>
      </c>
    </row>
    <row r="64" spans="1:7" ht="45" x14ac:dyDescent="0.25">
      <c r="A64" s="8" t="s">
        <v>91</v>
      </c>
      <c r="B64" s="8" t="s">
        <v>151</v>
      </c>
      <c r="C64" s="11">
        <v>363</v>
      </c>
      <c r="D64" s="8" t="s">
        <v>152</v>
      </c>
      <c r="E64" s="8" t="s">
        <v>153</v>
      </c>
      <c r="F64">
        <v>12.25</v>
      </c>
      <c r="G64" s="8"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recomb_data</vt:lpstr>
      <vt:lpstr>pop_par</vt:lpstr>
      <vt:lpstr>human_data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Walid Mawass</dc:creator>
  <cp:lastModifiedBy>Walid Mawass</cp:lastModifiedBy>
  <dcterms:created xsi:type="dcterms:W3CDTF">2015-06-05T18:17:20Z</dcterms:created>
  <dcterms:modified xsi:type="dcterms:W3CDTF">2026-03-19T13:39:34Z</dcterms:modified>
</cp:coreProperties>
</file>